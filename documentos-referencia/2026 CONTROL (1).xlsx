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cion1\Downloads\"/>
    </mc:Choice>
  </mc:AlternateContent>
  <xr:revisionPtr revIDLastSave="0" documentId="8_{E35F3C8E-93AD-43DF-AEB3-E94D24FFDAFE}" xr6:coauthVersionLast="47" xr6:coauthVersionMax="47" xr10:uidLastSave="{00000000-0000-0000-0000-000000000000}"/>
  <bookViews>
    <workbookView xWindow="-120" yWindow="-120" windowWidth="29040" windowHeight="17640" xr2:uid="{2803E3F6-E0E0-4861-B489-D66249BDB8FA}"/>
  </bookViews>
  <sheets>
    <sheet name="JUNIO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4" i="17" l="1"/>
  <c r="H44" i="17"/>
  <c r="I40" i="17"/>
  <c r="H40" i="17"/>
  <c r="I26" i="17"/>
  <c r="H26" i="17"/>
  <c r="I21" i="17"/>
  <c r="H21" i="17"/>
  <c r="I17" i="17"/>
  <c r="H17" i="17"/>
  <c r="I3" i="17"/>
  <c r="J3" i="17"/>
  <c r="H3" i="17"/>
  <c r="J17" i="17"/>
  <c r="J21" i="17"/>
  <c r="G19" i="17"/>
  <c r="G18" i="17"/>
  <c r="G23" i="17"/>
  <c r="G24" i="17"/>
  <c r="G22" i="17"/>
  <c r="G28" i="17"/>
  <c r="G29" i="17"/>
  <c r="G30" i="17"/>
  <c r="G31" i="17"/>
  <c r="G32" i="17"/>
  <c r="G33" i="17"/>
  <c r="G34" i="17"/>
  <c r="G27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45" i="17"/>
  <c r="N24" i="17" l="1"/>
  <c r="O24" i="17" s="1"/>
  <c r="N64" i="17"/>
  <c r="O64" i="17" s="1"/>
  <c r="P64" i="17" s="1"/>
  <c r="N10" i="17"/>
  <c r="G10" i="17"/>
  <c r="O10" i="17" s="1"/>
  <c r="P10" i="17" s="1"/>
  <c r="S24" i="17" l="1"/>
  <c r="R24" i="17"/>
  <c r="P24" i="17"/>
  <c r="Q24" i="17" s="1"/>
  <c r="S64" i="17"/>
  <c r="R64" i="17"/>
  <c r="Q64" i="17"/>
  <c r="Q10" i="17"/>
  <c r="R10" i="17"/>
  <c r="S10" i="17"/>
  <c r="N77" i="17"/>
  <c r="O77" i="17" s="1"/>
  <c r="P77" i="17" s="1"/>
  <c r="J26" i="17"/>
  <c r="N71" i="17"/>
  <c r="O71" i="17"/>
  <c r="N76" i="17"/>
  <c r="O76" i="17"/>
  <c r="P76" i="17" s="1"/>
  <c r="N75" i="17"/>
  <c r="O75" i="17"/>
  <c r="P75" i="17" s="1"/>
  <c r="N74" i="17"/>
  <c r="O74" i="17"/>
  <c r="P74" i="17" s="1"/>
  <c r="N73" i="17"/>
  <c r="O73" i="17"/>
  <c r="P73" i="17" s="1"/>
  <c r="N70" i="17"/>
  <c r="O70" i="17"/>
  <c r="P70" i="17" s="1"/>
  <c r="N69" i="17"/>
  <c r="O69" i="17"/>
  <c r="P69" i="17" s="1"/>
  <c r="N68" i="17"/>
  <c r="O68" i="17"/>
  <c r="P68" i="17" s="1"/>
  <c r="N67" i="17"/>
  <c r="O67" i="17"/>
  <c r="P67" i="17" s="1"/>
  <c r="N66" i="17"/>
  <c r="O66" i="17"/>
  <c r="P66" i="17" s="1"/>
  <c r="N65" i="17"/>
  <c r="O65" i="17"/>
  <c r="P65" i="17" s="1"/>
  <c r="N63" i="17"/>
  <c r="O63" i="17"/>
  <c r="P63" i="17" s="1"/>
  <c r="N62" i="17"/>
  <c r="O62" i="17"/>
  <c r="P62" i="17" s="1"/>
  <c r="N61" i="17"/>
  <c r="O61" i="17"/>
  <c r="P61" i="17" s="1"/>
  <c r="N60" i="17"/>
  <c r="O60" i="17"/>
  <c r="P60" i="17" s="1"/>
  <c r="N59" i="17"/>
  <c r="O59" i="17"/>
  <c r="P59" i="17" s="1"/>
  <c r="N58" i="17"/>
  <c r="N57" i="17"/>
  <c r="O57" i="17"/>
  <c r="P57" i="17" s="1"/>
  <c r="N56" i="17"/>
  <c r="O56" i="17"/>
  <c r="P56" i="17" s="1"/>
  <c r="N55" i="17"/>
  <c r="O55" i="17"/>
  <c r="P55" i="17" s="1"/>
  <c r="N54" i="17"/>
  <c r="O54" i="17" s="1"/>
  <c r="P54" i="17" s="1"/>
  <c r="N53" i="17"/>
  <c r="N52" i="17"/>
  <c r="O52" i="17" s="1"/>
  <c r="P52" i="17" s="1"/>
  <c r="N51" i="17"/>
  <c r="O51" i="17"/>
  <c r="P51" i="17" s="1"/>
  <c r="N50" i="17"/>
  <c r="O50" i="17"/>
  <c r="P50" i="17" s="1"/>
  <c r="N49" i="17"/>
  <c r="O49" i="17"/>
  <c r="P49" i="17" s="1"/>
  <c r="N48" i="17"/>
  <c r="O48" i="17"/>
  <c r="N47" i="17"/>
  <c r="O47" i="17"/>
  <c r="P47" i="17" s="1"/>
  <c r="N46" i="17"/>
  <c r="O46" i="17"/>
  <c r="P46" i="17" s="1"/>
  <c r="N45" i="17"/>
  <c r="O45" i="17"/>
  <c r="J44" i="17"/>
  <c r="G44" i="17"/>
  <c r="N42" i="17"/>
  <c r="G42" i="17"/>
  <c r="O42" i="17" s="1"/>
  <c r="P42" i="17" s="1"/>
  <c r="N72" i="17"/>
  <c r="O72" i="17"/>
  <c r="P72" i="17" s="1"/>
  <c r="N41" i="17"/>
  <c r="G41" i="17"/>
  <c r="O41" i="17" s="1"/>
  <c r="P41" i="17" s="1"/>
  <c r="P40" i="17"/>
  <c r="O40" i="17"/>
  <c r="J40" i="17"/>
  <c r="G40" i="17"/>
  <c r="S37" i="17"/>
  <c r="R37" i="17"/>
  <c r="Q37" i="17"/>
  <c r="P37" i="17"/>
  <c r="O37" i="17"/>
  <c r="G37" i="17"/>
  <c r="N34" i="17"/>
  <c r="O34" i="17"/>
  <c r="P34" i="17" s="1"/>
  <c r="N33" i="17"/>
  <c r="O33" i="17"/>
  <c r="P33" i="17" s="1"/>
  <c r="N32" i="17"/>
  <c r="O32" i="17"/>
  <c r="P32" i="17" s="1"/>
  <c r="N31" i="17"/>
  <c r="O31" i="17"/>
  <c r="P31" i="17" s="1"/>
  <c r="N30" i="17"/>
  <c r="O30" i="17"/>
  <c r="P30" i="17" s="1"/>
  <c r="N29" i="17"/>
  <c r="O29" i="17"/>
  <c r="P29" i="17" s="1"/>
  <c r="N28" i="17"/>
  <c r="O28" i="17"/>
  <c r="P28" i="17" s="1"/>
  <c r="N27" i="17"/>
  <c r="O27" i="17"/>
  <c r="P27" i="17" s="1"/>
  <c r="O26" i="17"/>
  <c r="G26" i="17"/>
  <c r="N23" i="17"/>
  <c r="O23" i="17"/>
  <c r="P23" i="17" s="1"/>
  <c r="N22" i="17"/>
  <c r="O22" i="17"/>
  <c r="P22" i="17" s="1"/>
  <c r="P21" i="17"/>
  <c r="O21" i="17"/>
  <c r="G21" i="17"/>
  <c r="N19" i="17"/>
  <c r="O19" i="17"/>
  <c r="N18" i="17"/>
  <c r="O18" i="17"/>
  <c r="O17" i="17"/>
  <c r="G17" i="17"/>
  <c r="N14" i="17"/>
  <c r="G14" i="17"/>
  <c r="O14" i="17" s="1"/>
  <c r="P14" i="17" s="1"/>
  <c r="N13" i="17"/>
  <c r="G13" i="17"/>
  <c r="O13" i="17" s="1"/>
  <c r="P13" i="17" s="1"/>
  <c r="N12" i="17"/>
  <c r="G12" i="17"/>
  <c r="O12" i="17" s="1"/>
  <c r="P12" i="17" s="1"/>
  <c r="N11" i="17"/>
  <c r="G11" i="17"/>
  <c r="O11" i="17" s="1"/>
  <c r="P11" i="17" s="1"/>
  <c r="N9" i="17"/>
  <c r="G9" i="17"/>
  <c r="O9" i="17" s="1"/>
  <c r="P9" i="17" s="1"/>
  <c r="N8" i="17"/>
  <c r="G8" i="17"/>
  <c r="O8" i="17" s="1"/>
  <c r="P8" i="17" s="1"/>
  <c r="N7" i="17"/>
  <c r="G7" i="17"/>
  <c r="O7" i="17" s="1"/>
  <c r="P7" i="17" s="1"/>
  <c r="N6" i="17"/>
  <c r="G6" i="17"/>
  <c r="O6" i="17" s="1"/>
  <c r="P6" i="17" s="1"/>
  <c r="N5" i="17"/>
  <c r="G5" i="17"/>
  <c r="O5" i="17" s="1"/>
  <c r="P5" i="17" s="1"/>
  <c r="N4" i="17"/>
  <c r="G4" i="17"/>
  <c r="O4" i="17" s="1"/>
  <c r="P4" i="17" s="1"/>
  <c r="O3" i="17"/>
  <c r="G3" i="17"/>
  <c r="G1" i="17"/>
  <c r="P48" i="17" l="1"/>
  <c r="Q48" i="17" s="1"/>
  <c r="R71" i="17"/>
  <c r="P71" i="17"/>
  <c r="O53" i="17"/>
  <c r="P53" i="17" s="1"/>
  <c r="Q75" i="17"/>
  <c r="Q76" i="17"/>
  <c r="R76" i="17"/>
  <c r="S76" i="17"/>
  <c r="Q71" i="17"/>
  <c r="S71" i="17"/>
  <c r="Q77" i="17"/>
  <c r="R77" i="17"/>
  <c r="S77" i="17"/>
  <c r="P45" i="17"/>
  <c r="Q45" i="17"/>
  <c r="O58" i="17"/>
  <c r="P58" i="17" s="1"/>
  <c r="S4" i="17"/>
  <c r="R4" i="17"/>
  <c r="Q4" i="17"/>
  <c r="S5" i="17"/>
  <c r="R5" i="17"/>
  <c r="Q5" i="17"/>
  <c r="S6" i="17"/>
  <c r="R6" i="17"/>
  <c r="S7" i="17"/>
  <c r="R7" i="17"/>
  <c r="Q7" i="17"/>
  <c r="S8" i="17"/>
  <c r="R8" i="17"/>
  <c r="Q8" i="17"/>
  <c r="S9" i="17"/>
  <c r="R9" i="17"/>
  <c r="Q9" i="17"/>
  <c r="S11" i="17"/>
  <c r="R11" i="17"/>
  <c r="Q11" i="17"/>
  <c r="S12" i="17"/>
  <c r="R12" i="17"/>
  <c r="Q12" i="17"/>
  <c r="S13" i="17"/>
  <c r="R13" i="17"/>
  <c r="Q13" i="17"/>
  <c r="S14" i="17"/>
  <c r="R14" i="17"/>
  <c r="Q14" i="17"/>
  <c r="S18" i="17"/>
  <c r="R18" i="17"/>
  <c r="P18" i="17"/>
  <c r="S19" i="17"/>
  <c r="R19" i="17"/>
  <c r="P19" i="17"/>
  <c r="Q19" i="17" s="1"/>
  <c r="S22" i="17"/>
  <c r="R22" i="17"/>
  <c r="Q22" i="17"/>
  <c r="S23" i="17"/>
  <c r="R23" i="17"/>
  <c r="Q23" i="17"/>
  <c r="S27" i="17"/>
  <c r="R27" i="17"/>
  <c r="Q27" i="17"/>
  <c r="S28" i="17"/>
  <c r="R28" i="17"/>
  <c r="S29" i="17"/>
  <c r="Q29" i="17"/>
  <c r="S30" i="17"/>
  <c r="R30" i="17"/>
  <c r="Q30" i="17"/>
  <c r="S31" i="17"/>
  <c r="R31" i="17"/>
  <c r="Q31" i="17"/>
  <c r="S32" i="17"/>
  <c r="R32" i="17"/>
  <c r="Q32" i="17"/>
  <c r="S33" i="17"/>
  <c r="R33" i="17"/>
  <c r="Q33" i="17"/>
  <c r="S34" i="17"/>
  <c r="R34" i="17"/>
  <c r="Q34" i="17"/>
  <c r="S41" i="17"/>
  <c r="R41" i="17"/>
  <c r="R40" i="17" s="1"/>
  <c r="Q41" i="17"/>
  <c r="S72" i="17"/>
  <c r="R72" i="17"/>
  <c r="Q72" i="17"/>
  <c r="S42" i="17"/>
  <c r="R42" i="17"/>
  <c r="Q42" i="17"/>
  <c r="S45" i="17"/>
  <c r="R45" i="17"/>
  <c r="S46" i="17"/>
  <c r="R46" i="17"/>
  <c r="Q46" i="17"/>
  <c r="S47" i="17"/>
  <c r="R47" i="17"/>
  <c r="Q47" i="17"/>
  <c r="S48" i="17"/>
  <c r="R48" i="17"/>
  <c r="S49" i="17"/>
  <c r="R49" i="17"/>
  <c r="Q49" i="17"/>
  <c r="S50" i="17"/>
  <c r="R50" i="17"/>
  <c r="Q50" i="17"/>
  <c r="S51" i="17"/>
  <c r="R51" i="17"/>
  <c r="Q51" i="17"/>
  <c r="S52" i="17"/>
  <c r="R52" i="17"/>
  <c r="Q52" i="17"/>
  <c r="S53" i="17"/>
  <c r="R53" i="17"/>
  <c r="Q53" i="17"/>
  <c r="S54" i="17"/>
  <c r="R54" i="17"/>
  <c r="Q54" i="17"/>
  <c r="S55" i="17"/>
  <c r="R55" i="17"/>
  <c r="Q55" i="17"/>
  <c r="S56" i="17"/>
  <c r="R56" i="17"/>
  <c r="Q56" i="17"/>
  <c r="S57" i="17"/>
  <c r="R57" i="17"/>
  <c r="Q57" i="17"/>
  <c r="S59" i="17"/>
  <c r="R59" i="17"/>
  <c r="Q59" i="17"/>
  <c r="S60" i="17"/>
  <c r="R60" i="17"/>
  <c r="Q60" i="17"/>
  <c r="S61" i="17"/>
  <c r="R61" i="17"/>
  <c r="Q61" i="17"/>
  <c r="S62" i="17"/>
  <c r="R62" i="17"/>
  <c r="Q62" i="17"/>
  <c r="S63" i="17"/>
  <c r="R63" i="17"/>
  <c r="Q63" i="17"/>
  <c r="S65" i="17"/>
  <c r="R65" i="17"/>
  <c r="Q65" i="17"/>
  <c r="S66" i="17"/>
  <c r="R66" i="17"/>
  <c r="Q66" i="17"/>
  <c r="S67" i="17"/>
  <c r="R67" i="17"/>
  <c r="Q67" i="17"/>
  <c r="S68" i="17"/>
  <c r="R68" i="17"/>
  <c r="Q68" i="17"/>
  <c r="S69" i="17"/>
  <c r="R69" i="17"/>
  <c r="Q69" i="17"/>
  <c r="S70" i="17"/>
  <c r="R70" i="17"/>
  <c r="Q70" i="17"/>
  <c r="S73" i="17"/>
  <c r="R73" i="17"/>
  <c r="Q73" i="17"/>
  <c r="S74" i="17"/>
  <c r="R74" i="17"/>
  <c r="Q74" i="17"/>
  <c r="S75" i="17"/>
  <c r="R75" i="17"/>
  <c r="R58" i="17" l="1"/>
  <c r="Q58" i="17"/>
  <c r="O44" i="17"/>
  <c r="O1" i="17" s="1"/>
  <c r="H1" i="17" s="1"/>
  <c r="S58" i="17"/>
  <c r="P44" i="17"/>
  <c r="Q44" i="17"/>
  <c r="R44" i="17"/>
  <c r="S44" i="17"/>
  <c r="Q40" i="17"/>
  <c r="S40" i="17"/>
  <c r="P26" i="17"/>
  <c r="Q28" i="17"/>
  <c r="Q26" i="17"/>
  <c r="R26" i="17"/>
  <c r="S26" i="17"/>
  <c r="Q21" i="17"/>
  <c r="R21" i="17"/>
  <c r="S21" i="17"/>
  <c r="P17" i="17"/>
  <c r="Q18" i="17"/>
  <c r="Q17" i="17" s="1"/>
  <c r="R17" i="17"/>
  <c r="S17" i="17"/>
  <c r="P3" i="17"/>
  <c r="P1" i="17" s="1"/>
  <c r="Q6" i="17"/>
  <c r="Q3" i="17"/>
  <c r="Q1" i="17" s="1"/>
  <c r="S3" i="17"/>
  <c r="S1" i="17" s="1"/>
</calcChain>
</file>

<file path=xl/sharedStrings.xml><?xml version="1.0" encoding="utf-8"?>
<sst xmlns="http://schemas.openxmlformats.org/spreadsheetml/2006/main" count="168" uniqueCount="92">
  <si>
    <t>CATEGORÍA</t>
  </si>
  <si>
    <t>H. EXT.</t>
  </si>
  <si>
    <t>H.S/D EXT</t>
  </si>
  <si>
    <t>TRABAJADOR</t>
  </si>
  <si>
    <t>total</t>
  </si>
  <si>
    <t>Irpf</t>
  </si>
  <si>
    <t>tgss</t>
  </si>
  <si>
    <t>BRUTO</t>
  </si>
  <si>
    <t>productividad</t>
  </si>
  <si>
    <t>horas</t>
  </si>
  <si>
    <t>DIFERENCIA</t>
  </si>
  <si>
    <t>3. COSTUREROS</t>
  </si>
  <si>
    <t xml:space="preserve">ENCARGADA </t>
  </si>
  <si>
    <t>ZAMORA VALDIVIA, ADORACION</t>
  </si>
  <si>
    <t>OLIVERA CAYERO, MARIA ISABEL</t>
  </si>
  <si>
    <t>BONILLA MENDIETA, KAREN IVONNE</t>
  </si>
  <si>
    <t>MONZON LOPEZ, ANIA MARGARITA</t>
  </si>
  <si>
    <t>CORRALES MORENO, SACRAMENTOS Mª</t>
  </si>
  <si>
    <t>AGEA MORENO, CARMEN</t>
  </si>
  <si>
    <t>5.CORTE</t>
  </si>
  <si>
    <t>OFICIAL 1ª</t>
  </si>
  <si>
    <t>CIOACA , CONSTANTIN</t>
  </si>
  <si>
    <t>CAÑELLAS GIL, Mª AMPARO</t>
  </si>
  <si>
    <t>OFICIAL 2ª</t>
  </si>
  <si>
    <t>6. TAPICEROS</t>
  </si>
  <si>
    <t>LUZURIAGA, ISIDRO FABIAN</t>
  </si>
  <si>
    <t>MATALONI, MAURIZIO</t>
  </si>
  <si>
    <t>REYES HENAO, DIEGO NORVAIRO</t>
  </si>
  <si>
    <t>SKOROWITCH ALBERTOS, LUIS ENRIQUE</t>
  </si>
  <si>
    <t>CLAURE ARISPE, YONY</t>
  </si>
  <si>
    <t>7.CARPINTEROS</t>
  </si>
  <si>
    <t>GUTIERREZ JIMENEZ, MIGUEL</t>
  </si>
  <si>
    <t>OFICIAL 3ª</t>
  </si>
  <si>
    <t>LEON GALLARDO, JAVIER</t>
  </si>
  <si>
    <t>9. INSTALADORES</t>
  </si>
  <si>
    <t>ENCARGADO</t>
  </si>
  <si>
    <t>BAIDEZ OLIVER, PEDRO</t>
  </si>
  <si>
    <t>RONCELLI SALVINI, CAROLINA</t>
  </si>
  <si>
    <t>CIOACA , VASILE</t>
  </si>
  <si>
    <t>BRITO VAZQUEZ, JUAN ANTONIO</t>
  </si>
  <si>
    <t>BUSTOS RODRIGUEZ, JESUS</t>
  </si>
  <si>
    <t>GARCIA AGUILO, ENRIC</t>
  </si>
  <si>
    <t>JOSE RAMON, MANUEL</t>
  </si>
  <si>
    <t>TELLEZ RODRIGUEZ, ANGEL</t>
  </si>
  <si>
    <t>OJEDA RODRIGUEZ, KILIAN</t>
  </si>
  <si>
    <t>MARTINEZ GONZALEZ, JAIME</t>
  </si>
  <si>
    <t>OFICIAL 2º</t>
  </si>
  <si>
    <t>ACOSTA SANTANA, YONAY JESUS</t>
  </si>
  <si>
    <t xml:space="preserve"> </t>
  </si>
  <si>
    <t>ACOSTA SANTANA, JOSE PABLO</t>
  </si>
  <si>
    <t>RAMOS YERGA, JOSE MANUEL</t>
  </si>
  <si>
    <t>RIVERA,JOHAN DANIEL</t>
  </si>
  <si>
    <t>LLODRA ROMAN, MIKEL</t>
  </si>
  <si>
    <t>CAMPOS GARCIA, MARIA ROSARIO</t>
  </si>
  <si>
    <t>ANEAS FIOL, ANGEL JAVIER</t>
  </si>
  <si>
    <t>EFTA, ESTEFAN SEBASTIAN</t>
  </si>
  <si>
    <t>AKHRIF, LOUBNA</t>
  </si>
  <si>
    <t>BAKHOUM, AMY</t>
  </si>
  <si>
    <t>LOPEZ GONZALEZ, CRISTIAN</t>
  </si>
  <si>
    <t>DUMITRU PARASCHIV, BANUTA</t>
  </si>
  <si>
    <t>TULCAN PIANDA, SONIA NANCY</t>
  </si>
  <si>
    <t>CALVO, VICTORIA</t>
  </si>
  <si>
    <t>BUITRAGO QUINTERO, MARIO FERNANDO</t>
  </si>
  <si>
    <t>MAILA PILATUNA, MONICA ALEXANDRA</t>
  </si>
  <si>
    <t>GIL JARAMILLO, JULIO ERNEY</t>
  </si>
  <si>
    <t>TABARES PATIÑO, CARLOS STEVEN</t>
  </si>
  <si>
    <t>ACEDOS TRIBALDO, MARCOS</t>
  </si>
  <si>
    <t>ARAGON VALENCIA, MARIA ALEJANDRA</t>
  </si>
  <si>
    <t>OCAMPO MORALES, AURA MARIA</t>
  </si>
  <si>
    <t>RINCON RESTREPO, LUIS EDUARDO</t>
  </si>
  <si>
    <t>RODRIGUEZ SALINAS, LUIS EDUARDO</t>
  </si>
  <si>
    <t>RAMOS FERRER, MARCOS</t>
  </si>
  <si>
    <t>MONTOYA MORENO, CARMEN JOHANA</t>
  </si>
  <si>
    <t>ENCARGADA</t>
  </si>
  <si>
    <t>BENHADAJ ADDA, NABIL ABDESSAMED</t>
  </si>
  <si>
    <t>BRADLEY FERNANDEZ, MIGUEL ANGEL</t>
  </si>
  <si>
    <t>BELTRAN HIDALGO, MANUEL</t>
  </si>
  <si>
    <t>MARTINEZ GUERRERO, TONI</t>
  </si>
  <si>
    <t xml:space="preserve">AUXILIAR PRODUCCIÓN </t>
  </si>
  <si>
    <t>ESPECIALISTA CONFECCIÓN</t>
  </si>
  <si>
    <t>PEÓN</t>
  </si>
  <si>
    <t xml:space="preserve">4.PRODUCCIÓN </t>
  </si>
  <si>
    <t>8. ALMACÉN</t>
  </si>
  <si>
    <t>BUENO GOMEZ, LEONARDO</t>
  </si>
  <si>
    <t>DIAZ CAO, DANIEL</t>
  </si>
  <si>
    <t>CORTADOR</t>
  </si>
  <si>
    <t>QUINTERO GONZALEZ, WILSON</t>
  </si>
  <si>
    <t>CAMPOMAR VICENTE, JOSE ANTONIO</t>
  </si>
  <si>
    <t>SOSA ,GASTON EZEQUIEL</t>
  </si>
  <si>
    <t>Variable Positiva</t>
  </si>
  <si>
    <t>Variable Negativa</t>
  </si>
  <si>
    <t>Dietas Normales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</si>
</sst>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C0A]_-;\-* #,##0.00\ [$€-C0A]_-;_-* &quot;-&quot;??\ [$€-C0A]_-;_-@_-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Comic Sans MS"/>
      <family val="4"/>
    </font>
    <font>
      <b/>
      <sz val="12"/>
      <name val="Comic Sans MS"/>
      <family val="4"/>
    </font>
    <font>
      <sz val="10"/>
      <name val="Arial"/>
      <family val="2"/>
    </font>
    <font>
      <sz val="9"/>
      <name val="Comic Sans MS"/>
      <family val="4"/>
    </font>
    <font>
      <b/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Display"/>
      <family val="2"/>
      <scheme val="major"/>
    </font>
    <font>
      <b/>
      <sz val="8"/>
      <color rgb="FF0070C0"/>
      <name val="Aptos Narrow"/>
      <family val="2"/>
      <scheme val="minor"/>
    </font>
    <font>
      <b/>
      <sz val="8"/>
      <color rgb="FF7030A0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164" fontId="2" fillId="0" borderId="0" xfId="1" applyNumberFormat="1" applyFont="1" applyFill="1" applyBorder="1"/>
    <xf numFmtId="164" fontId="3" fillId="2" borderId="1" xfId="1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5" fillId="0" borderId="3" xfId="0" applyFont="1" applyBorder="1"/>
    <xf numFmtId="9" fontId="2" fillId="0" borderId="0" xfId="1" applyNumberFormat="1" applyFont="1" applyFill="1" applyBorder="1"/>
    <xf numFmtId="10" fontId="2" fillId="0" borderId="0" xfId="1" applyNumberFormat="1" applyFont="1" applyFill="1" applyBorder="1"/>
    <xf numFmtId="0" fontId="2" fillId="0" borderId="0" xfId="1" applyNumberFormat="1" applyFont="1" applyFill="1" applyBorder="1"/>
    <xf numFmtId="43" fontId="7" fillId="0" borderId="0" xfId="1" applyFont="1"/>
    <xf numFmtId="0" fontId="7" fillId="0" borderId="0" xfId="1" applyNumberFormat="1" applyFont="1" applyFill="1" applyBorder="1"/>
    <xf numFmtId="43" fontId="2" fillId="0" borderId="0" xfId="1" applyFont="1"/>
    <xf numFmtId="0" fontId="8" fillId="0" borderId="0" xfId="1" applyNumberFormat="1" applyFont="1" applyFill="1" applyBorder="1"/>
    <xf numFmtId="43" fontId="6" fillId="0" borderId="1" xfId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164" fontId="9" fillId="0" borderId="0" xfId="0" applyNumberFormat="1" applyFont="1" applyAlignment="1">
      <alignment horizontal="center" vertical="center"/>
    </xf>
    <xf numFmtId="43" fontId="8" fillId="0" borderId="0" xfId="1" applyFont="1"/>
    <xf numFmtId="0" fontId="5" fillId="0" borderId="3" xfId="0" applyFont="1" applyFill="1" applyBorder="1"/>
    <xf numFmtId="0" fontId="2" fillId="0" borderId="0" xfId="1" applyNumberFormat="1" applyFont="1" applyFill="1" applyBorder="1" applyAlignment="1"/>
    <xf numFmtId="164" fontId="2" fillId="0" borderId="0" xfId="0" applyNumberFormat="1" applyFont="1" applyFill="1"/>
    <xf numFmtId="0" fontId="2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9" fillId="0" borderId="0" xfId="0" applyNumberFormat="1" applyFont="1" applyFill="1" applyAlignment="1">
      <alignment horizontal="center" vertical="center"/>
    </xf>
    <xf numFmtId="0" fontId="8" fillId="0" borderId="0" xfId="0" applyFont="1" applyFill="1"/>
    <xf numFmtId="0" fontId="8" fillId="0" borderId="0" xfId="0" applyFont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/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7" fillId="3" borderId="0" xfId="0" applyFont="1" applyFill="1"/>
    <xf numFmtId="164" fontId="9" fillId="3" borderId="0" xfId="0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/>
    <xf numFmtId="0" fontId="5" fillId="0" borderId="3" xfId="0" applyFont="1" applyFill="1" applyBorder="1" applyAlignment="1">
      <alignment wrapText="1"/>
    </xf>
    <xf numFmtId="164" fontId="10" fillId="0" borderId="0" xfId="0" applyNumberFormat="1" applyFont="1" applyFill="1" applyAlignment="1">
      <alignment horizontal="center" vertical="center"/>
    </xf>
    <xf numFmtId="0" fontId="10" fillId="0" borderId="0" xfId="1" applyNumberFormat="1" applyFont="1" applyFill="1" applyBorder="1"/>
    <xf numFmtId="164" fontId="7" fillId="0" borderId="0" xfId="0" applyNumberFormat="1" applyFont="1" applyAlignment="1">
      <alignment horizontal="right" vertical="center"/>
    </xf>
    <xf numFmtId="0" fontId="11" fillId="0" borderId="0" xfId="0" applyFont="1"/>
    <xf numFmtId="0" fontId="12" fillId="0" borderId="0" xfId="0" applyFont="1"/>
    <xf numFmtId="164" fontId="10" fillId="3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165" fontId="8" fillId="0" borderId="0" xfId="3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0" fontId="5" fillId="0" borderId="0" xfId="0" applyFont="1" applyFill="1" applyAlignment="1">
      <alignment wrapText="1"/>
    </xf>
    <xf numFmtId="0" fontId="2" fillId="0" borderId="0" xfId="0" applyFont="1" applyFill="1"/>
    <xf numFmtId="0" fontId="8" fillId="0" borderId="0" xfId="0" applyFont="1" applyFill="1" applyAlignment="1">
      <alignment horizontal="center"/>
    </xf>
    <xf numFmtId="43" fontId="6" fillId="0" borderId="0" xfId="1" applyFont="1" applyFill="1" applyBorder="1" applyAlignment="1">
      <alignment horizontal="right"/>
    </xf>
    <xf numFmtId="0" fontId="7" fillId="0" borderId="0" xfId="0" applyFont="1" applyFill="1" applyAlignment="1">
      <alignment horizontal="center"/>
    </xf>
    <xf numFmtId="43" fontId="6" fillId="0" borderId="1" xfId="4" applyFont="1" applyFill="1" applyBorder="1" applyAlignment="1">
      <alignment horizontal="left" vertical="center" wrapText="1"/>
    </xf>
    <xf numFmtId="43" fontId="6" fillId="0" borderId="1" xfId="1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9" fillId="0" borderId="0" xfId="0" applyNumberFormat="1" applyFont="1" applyFill="1" applyAlignment="1">
      <alignment horizontal="center"/>
    </xf>
    <xf numFmtId="9" fontId="2" fillId="0" borderId="0" xfId="1" applyNumberFormat="1" applyFont="1" applyFill="1" applyBorder="1" applyAlignment="1"/>
    <xf numFmtId="10" fontId="2" fillId="0" borderId="0" xfId="1" applyNumberFormat="1" applyFont="1" applyFill="1" applyBorder="1" applyAlignment="1"/>
    <xf numFmtId="44" fontId="2" fillId="0" borderId="0" xfId="2" applyFont="1" applyFill="1" applyBorder="1" applyAlignment="1">
      <alignment horizontal="center" wrapText="1"/>
    </xf>
    <xf numFmtId="2" fontId="2" fillId="0" borderId="0" xfId="1" applyNumberFormat="1" applyFont="1" applyFill="1" applyBorder="1" applyAlignment="1">
      <alignment horizontal="center"/>
    </xf>
  </cellXfs>
  <cellStyles count="6">
    <cellStyle name="Millares" xfId="1" builtinId="3"/>
    <cellStyle name="Millares 2 2" xfId="4" xr:uid="{C81ED9FC-29F1-4C7E-ACFB-410451B5851C}"/>
    <cellStyle name="Millares 3" xfId="5" xr:uid="{1E74BF30-FE22-479F-A7CA-6E23BDFB12B8}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A8E-1ED7-4DE6-BAF7-CBDAA3BC844A}">
  <dimension ref="A1:IU158"/>
  <sheetViews>
    <sheetView tabSelected="1" zoomScaleNormal="100" workbookViewId="0">
      <selection activeCell="G44" activeCellId="1" sqref="I44 G44"/>
    </sheetView>
  </sheetViews>
  <sheetFormatPr baseColWidth="10" defaultRowHeight="15" x14ac:dyDescent="0.25"/>
  <cols>
    <col min="1" max="1" width="16.85546875" customWidth="1"/>
    <col min="2" max="2" width="9.140625" customWidth="1"/>
    <col min="3" max="3" width="8.140625" customWidth="1"/>
    <col min="4" max="4" width="41.42578125" bestFit="1" customWidth="1"/>
    <col min="5" max="5" width="9.7109375" customWidth="1"/>
    <col min="6" max="6" width="12" customWidth="1"/>
    <col min="7" max="7" width="13.28515625" customWidth="1"/>
    <col min="8" max="8" width="22.85546875" style="50" bestFit="1" customWidth="1"/>
    <col min="9" max="9" width="22.85546875" style="50" customWidth="1"/>
    <col min="10" max="10" width="24.42578125" bestFit="1" customWidth="1"/>
    <col min="11" max="11" width="5.5703125" customWidth="1"/>
    <col min="12" max="12" width="4.7109375" customWidth="1"/>
    <col min="13" max="13" width="5.7109375" customWidth="1"/>
    <col min="14" max="14" width="7.42578125" customWidth="1"/>
    <col min="15" max="15" width="13.85546875" customWidth="1"/>
    <col min="16" max="17" width="13.85546875" bestFit="1" customWidth="1"/>
    <col min="18" max="18" width="11.85546875" bestFit="1" customWidth="1"/>
    <col min="19" max="19" width="12.7109375" bestFit="1" customWidth="1"/>
    <col min="258" max="258" width="18.85546875" bestFit="1" customWidth="1"/>
    <col min="259" max="259" width="10.140625" bestFit="1" customWidth="1"/>
    <col min="260" max="260" width="12.7109375" bestFit="1" customWidth="1"/>
    <col min="261" max="261" width="44.85546875" bestFit="1" customWidth="1"/>
    <col min="262" max="262" width="10.140625" customWidth="1"/>
    <col min="263" max="263" width="12.7109375" customWidth="1"/>
    <col min="264" max="264" width="13.28515625" customWidth="1"/>
    <col min="265" max="265" width="8.42578125" customWidth="1"/>
    <col min="266" max="266" width="14.7109375" customWidth="1"/>
    <col min="267" max="267" width="4.7109375" customWidth="1"/>
    <col min="268" max="268" width="5.7109375" customWidth="1"/>
    <col min="269" max="269" width="7.42578125" customWidth="1"/>
    <col min="270" max="270" width="13.85546875" customWidth="1"/>
    <col min="271" max="272" width="13.85546875" bestFit="1" customWidth="1"/>
    <col min="273" max="273" width="11.85546875" bestFit="1" customWidth="1"/>
    <col min="274" max="274" width="12.7109375" bestFit="1" customWidth="1"/>
    <col min="514" max="514" width="18.85546875" bestFit="1" customWidth="1"/>
    <col min="515" max="515" width="10.140625" bestFit="1" customWidth="1"/>
    <col min="516" max="516" width="12.7109375" bestFit="1" customWidth="1"/>
    <col min="517" max="517" width="44.85546875" bestFit="1" customWidth="1"/>
    <col min="518" max="518" width="10.140625" customWidth="1"/>
    <col min="519" max="519" width="12.7109375" customWidth="1"/>
    <col min="520" max="520" width="13.28515625" customWidth="1"/>
    <col min="521" max="521" width="8.42578125" customWidth="1"/>
    <col min="522" max="522" width="14.7109375" customWidth="1"/>
    <col min="523" max="523" width="4.7109375" customWidth="1"/>
    <col min="524" max="524" width="5.7109375" customWidth="1"/>
    <col min="525" max="525" width="7.42578125" customWidth="1"/>
    <col min="526" max="526" width="13.85546875" customWidth="1"/>
    <col min="527" max="528" width="13.85546875" bestFit="1" customWidth="1"/>
    <col min="529" max="529" width="11.85546875" bestFit="1" customWidth="1"/>
    <col min="530" max="530" width="12.7109375" bestFit="1" customWidth="1"/>
    <col min="770" max="770" width="18.85546875" bestFit="1" customWidth="1"/>
    <col min="771" max="771" width="10.140625" bestFit="1" customWidth="1"/>
    <col min="772" max="772" width="12.7109375" bestFit="1" customWidth="1"/>
    <col min="773" max="773" width="44.85546875" bestFit="1" customWidth="1"/>
    <col min="774" max="774" width="10.140625" customWidth="1"/>
    <col min="775" max="775" width="12.7109375" customWidth="1"/>
    <col min="776" max="776" width="13.28515625" customWidth="1"/>
    <col min="777" max="777" width="8.42578125" customWidth="1"/>
    <col min="778" max="778" width="14.7109375" customWidth="1"/>
    <col min="779" max="779" width="4.7109375" customWidth="1"/>
    <col min="780" max="780" width="5.7109375" customWidth="1"/>
    <col min="781" max="781" width="7.42578125" customWidth="1"/>
    <col min="782" max="782" width="13.85546875" customWidth="1"/>
    <col min="783" max="784" width="13.85546875" bestFit="1" customWidth="1"/>
    <col min="785" max="785" width="11.85546875" bestFit="1" customWidth="1"/>
    <col min="786" max="786" width="12.7109375" bestFit="1" customWidth="1"/>
    <col min="1026" max="1026" width="18.85546875" bestFit="1" customWidth="1"/>
    <col min="1027" max="1027" width="10.140625" bestFit="1" customWidth="1"/>
    <col min="1028" max="1028" width="12.7109375" bestFit="1" customWidth="1"/>
    <col min="1029" max="1029" width="44.85546875" bestFit="1" customWidth="1"/>
    <col min="1030" max="1030" width="10.140625" customWidth="1"/>
    <col min="1031" max="1031" width="12.7109375" customWidth="1"/>
    <col min="1032" max="1032" width="13.28515625" customWidth="1"/>
    <col min="1033" max="1033" width="8.42578125" customWidth="1"/>
    <col min="1034" max="1034" width="14.7109375" customWidth="1"/>
    <col min="1035" max="1035" width="4.7109375" customWidth="1"/>
    <col min="1036" max="1036" width="5.7109375" customWidth="1"/>
    <col min="1037" max="1037" width="7.42578125" customWidth="1"/>
    <col min="1038" max="1038" width="13.85546875" customWidth="1"/>
    <col min="1039" max="1040" width="13.85546875" bestFit="1" customWidth="1"/>
    <col min="1041" max="1041" width="11.85546875" bestFit="1" customWidth="1"/>
    <col min="1042" max="1042" width="12.7109375" bestFit="1" customWidth="1"/>
    <col min="1282" max="1282" width="18.85546875" bestFit="1" customWidth="1"/>
    <col min="1283" max="1283" width="10.140625" bestFit="1" customWidth="1"/>
    <col min="1284" max="1284" width="12.7109375" bestFit="1" customWidth="1"/>
    <col min="1285" max="1285" width="44.85546875" bestFit="1" customWidth="1"/>
    <col min="1286" max="1286" width="10.140625" customWidth="1"/>
    <col min="1287" max="1287" width="12.7109375" customWidth="1"/>
    <col min="1288" max="1288" width="13.28515625" customWidth="1"/>
    <col min="1289" max="1289" width="8.42578125" customWidth="1"/>
    <col min="1290" max="1290" width="14.7109375" customWidth="1"/>
    <col min="1291" max="1291" width="4.7109375" customWidth="1"/>
    <col min="1292" max="1292" width="5.7109375" customWidth="1"/>
    <col min="1293" max="1293" width="7.42578125" customWidth="1"/>
    <col min="1294" max="1294" width="13.85546875" customWidth="1"/>
    <col min="1295" max="1296" width="13.85546875" bestFit="1" customWidth="1"/>
    <col min="1297" max="1297" width="11.85546875" bestFit="1" customWidth="1"/>
    <col min="1298" max="1298" width="12.7109375" bestFit="1" customWidth="1"/>
    <col min="1538" max="1538" width="18.85546875" bestFit="1" customWidth="1"/>
    <col min="1539" max="1539" width="10.140625" bestFit="1" customWidth="1"/>
    <col min="1540" max="1540" width="12.7109375" bestFit="1" customWidth="1"/>
    <col min="1541" max="1541" width="44.85546875" bestFit="1" customWidth="1"/>
    <col min="1542" max="1542" width="10.140625" customWidth="1"/>
    <col min="1543" max="1543" width="12.7109375" customWidth="1"/>
    <col min="1544" max="1544" width="13.28515625" customWidth="1"/>
    <col min="1545" max="1545" width="8.42578125" customWidth="1"/>
    <col min="1546" max="1546" width="14.7109375" customWidth="1"/>
    <col min="1547" max="1547" width="4.7109375" customWidth="1"/>
    <col min="1548" max="1548" width="5.7109375" customWidth="1"/>
    <col min="1549" max="1549" width="7.42578125" customWidth="1"/>
    <col min="1550" max="1550" width="13.85546875" customWidth="1"/>
    <col min="1551" max="1552" width="13.85546875" bestFit="1" customWidth="1"/>
    <col min="1553" max="1553" width="11.85546875" bestFit="1" customWidth="1"/>
    <col min="1554" max="1554" width="12.7109375" bestFit="1" customWidth="1"/>
    <col min="1794" max="1794" width="18.85546875" bestFit="1" customWidth="1"/>
    <col min="1795" max="1795" width="10.140625" bestFit="1" customWidth="1"/>
    <col min="1796" max="1796" width="12.7109375" bestFit="1" customWidth="1"/>
    <col min="1797" max="1797" width="44.85546875" bestFit="1" customWidth="1"/>
    <col min="1798" max="1798" width="10.140625" customWidth="1"/>
    <col min="1799" max="1799" width="12.7109375" customWidth="1"/>
    <col min="1800" max="1800" width="13.28515625" customWidth="1"/>
    <col min="1801" max="1801" width="8.42578125" customWidth="1"/>
    <col min="1802" max="1802" width="14.7109375" customWidth="1"/>
    <col min="1803" max="1803" width="4.7109375" customWidth="1"/>
    <col min="1804" max="1804" width="5.7109375" customWidth="1"/>
    <col min="1805" max="1805" width="7.42578125" customWidth="1"/>
    <col min="1806" max="1806" width="13.85546875" customWidth="1"/>
    <col min="1807" max="1808" width="13.85546875" bestFit="1" customWidth="1"/>
    <col min="1809" max="1809" width="11.85546875" bestFit="1" customWidth="1"/>
    <col min="1810" max="1810" width="12.7109375" bestFit="1" customWidth="1"/>
    <col min="2050" max="2050" width="18.85546875" bestFit="1" customWidth="1"/>
    <col min="2051" max="2051" width="10.140625" bestFit="1" customWidth="1"/>
    <col min="2052" max="2052" width="12.7109375" bestFit="1" customWidth="1"/>
    <col min="2053" max="2053" width="44.85546875" bestFit="1" customWidth="1"/>
    <col min="2054" max="2054" width="10.140625" customWidth="1"/>
    <col min="2055" max="2055" width="12.7109375" customWidth="1"/>
    <col min="2056" max="2056" width="13.28515625" customWidth="1"/>
    <col min="2057" max="2057" width="8.42578125" customWidth="1"/>
    <col min="2058" max="2058" width="14.7109375" customWidth="1"/>
    <col min="2059" max="2059" width="4.7109375" customWidth="1"/>
    <col min="2060" max="2060" width="5.7109375" customWidth="1"/>
    <col min="2061" max="2061" width="7.42578125" customWidth="1"/>
    <col min="2062" max="2062" width="13.85546875" customWidth="1"/>
    <col min="2063" max="2064" width="13.85546875" bestFit="1" customWidth="1"/>
    <col min="2065" max="2065" width="11.85546875" bestFit="1" customWidth="1"/>
    <col min="2066" max="2066" width="12.7109375" bestFit="1" customWidth="1"/>
    <col min="2306" max="2306" width="18.85546875" bestFit="1" customWidth="1"/>
    <col min="2307" max="2307" width="10.140625" bestFit="1" customWidth="1"/>
    <col min="2308" max="2308" width="12.7109375" bestFit="1" customWidth="1"/>
    <col min="2309" max="2309" width="44.85546875" bestFit="1" customWidth="1"/>
    <col min="2310" max="2310" width="10.140625" customWidth="1"/>
    <col min="2311" max="2311" width="12.7109375" customWidth="1"/>
    <col min="2312" max="2312" width="13.28515625" customWidth="1"/>
    <col min="2313" max="2313" width="8.42578125" customWidth="1"/>
    <col min="2314" max="2314" width="14.7109375" customWidth="1"/>
    <col min="2315" max="2315" width="4.7109375" customWidth="1"/>
    <col min="2316" max="2316" width="5.7109375" customWidth="1"/>
    <col min="2317" max="2317" width="7.42578125" customWidth="1"/>
    <col min="2318" max="2318" width="13.85546875" customWidth="1"/>
    <col min="2319" max="2320" width="13.85546875" bestFit="1" customWidth="1"/>
    <col min="2321" max="2321" width="11.85546875" bestFit="1" customWidth="1"/>
    <col min="2322" max="2322" width="12.7109375" bestFit="1" customWidth="1"/>
    <col min="2562" max="2562" width="18.85546875" bestFit="1" customWidth="1"/>
    <col min="2563" max="2563" width="10.140625" bestFit="1" customWidth="1"/>
    <col min="2564" max="2564" width="12.7109375" bestFit="1" customWidth="1"/>
    <col min="2565" max="2565" width="44.85546875" bestFit="1" customWidth="1"/>
    <col min="2566" max="2566" width="10.140625" customWidth="1"/>
    <col min="2567" max="2567" width="12.7109375" customWidth="1"/>
    <col min="2568" max="2568" width="13.28515625" customWidth="1"/>
    <col min="2569" max="2569" width="8.42578125" customWidth="1"/>
    <col min="2570" max="2570" width="14.7109375" customWidth="1"/>
    <col min="2571" max="2571" width="4.7109375" customWidth="1"/>
    <col min="2572" max="2572" width="5.7109375" customWidth="1"/>
    <col min="2573" max="2573" width="7.42578125" customWidth="1"/>
    <col min="2574" max="2574" width="13.85546875" customWidth="1"/>
    <col min="2575" max="2576" width="13.85546875" bestFit="1" customWidth="1"/>
    <col min="2577" max="2577" width="11.85546875" bestFit="1" customWidth="1"/>
    <col min="2578" max="2578" width="12.7109375" bestFit="1" customWidth="1"/>
    <col min="2818" max="2818" width="18.85546875" bestFit="1" customWidth="1"/>
    <col min="2819" max="2819" width="10.140625" bestFit="1" customWidth="1"/>
    <col min="2820" max="2820" width="12.7109375" bestFit="1" customWidth="1"/>
    <col min="2821" max="2821" width="44.85546875" bestFit="1" customWidth="1"/>
    <col min="2822" max="2822" width="10.140625" customWidth="1"/>
    <col min="2823" max="2823" width="12.7109375" customWidth="1"/>
    <col min="2824" max="2824" width="13.28515625" customWidth="1"/>
    <col min="2825" max="2825" width="8.42578125" customWidth="1"/>
    <col min="2826" max="2826" width="14.7109375" customWidth="1"/>
    <col min="2827" max="2827" width="4.7109375" customWidth="1"/>
    <col min="2828" max="2828" width="5.7109375" customWidth="1"/>
    <col min="2829" max="2829" width="7.42578125" customWidth="1"/>
    <col min="2830" max="2830" width="13.85546875" customWidth="1"/>
    <col min="2831" max="2832" width="13.85546875" bestFit="1" customWidth="1"/>
    <col min="2833" max="2833" width="11.85546875" bestFit="1" customWidth="1"/>
    <col min="2834" max="2834" width="12.7109375" bestFit="1" customWidth="1"/>
    <col min="3074" max="3074" width="18.85546875" bestFit="1" customWidth="1"/>
    <col min="3075" max="3075" width="10.140625" bestFit="1" customWidth="1"/>
    <col min="3076" max="3076" width="12.7109375" bestFit="1" customWidth="1"/>
    <col min="3077" max="3077" width="44.85546875" bestFit="1" customWidth="1"/>
    <col min="3078" max="3078" width="10.140625" customWidth="1"/>
    <col min="3079" max="3079" width="12.7109375" customWidth="1"/>
    <col min="3080" max="3080" width="13.28515625" customWidth="1"/>
    <col min="3081" max="3081" width="8.42578125" customWidth="1"/>
    <col min="3082" max="3082" width="14.7109375" customWidth="1"/>
    <col min="3083" max="3083" width="4.7109375" customWidth="1"/>
    <col min="3084" max="3084" width="5.7109375" customWidth="1"/>
    <col min="3085" max="3085" width="7.42578125" customWidth="1"/>
    <col min="3086" max="3086" width="13.85546875" customWidth="1"/>
    <col min="3087" max="3088" width="13.85546875" bestFit="1" customWidth="1"/>
    <col min="3089" max="3089" width="11.85546875" bestFit="1" customWidth="1"/>
    <col min="3090" max="3090" width="12.7109375" bestFit="1" customWidth="1"/>
    <col min="3330" max="3330" width="18.85546875" bestFit="1" customWidth="1"/>
    <col min="3331" max="3331" width="10.140625" bestFit="1" customWidth="1"/>
    <col min="3332" max="3332" width="12.7109375" bestFit="1" customWidth="1"/>
    <col min="3333" max="3333" width="44.85546875" bestFit="1" customWidth="1"/>
    <col min="3334" max="3334" width="10.140625" customWidth="1"/>
    <col min="3335" max="3335" width="12.7109375" customWidth="1"/>
    <col min="3336" max="3336" width="13.28515625" customWidth="1"/>
    <col min="3337" max="3337" width="8.42578125" customWidth="1"/>
    <col min="3338" max="3338" width="14.7109375" customWidth="1"/>
    <col min="3339" max="3339" width="4.7109375" customWidth="1"/>
    <col min="3340" max="3340" width="5.7109375" customWidth="1"/>
    <col min="3341" max="3341" width="7.42578125" customWidth="1"/>
    <col min="3342" max="3342" width="13.85546875" customWidth="1"/>
    <col min="3343" max="3344" width="13.85546875" bestFit="1" customWidth="1"/>
    <col min="3345" max="3345" width="11.85546875" bestFit="1" customWidth="1"/>
    <col min="3346" max="3346" width="12.7109375" bestFit="1" customWidth="1"/>
    <col min="3586" max="3586" width="18.85546875" bestFit="1" customWidth="1"/>
    <col min="3587" max="3587" width="10.140625" bestFit="1" customWidth="1"/>
    <col min="3588" max="3588" width="12.7109375" bestFit="1" customWidth="1"/>
    <col min="3589" max="3589" width="44.85546875" bestFit="1" customWidth="1"/>
    <col min="3590" max="3590" width="10.140625" customWidth="1"/>
    <col min="3591" max="3591" width="12.7109375" customWidth="1"/>
    <col min="3592" max="3592" width="13.28515625" customWidth="1"/>
    <col min="3593" max="3593" width="8.42578125" customWidth="1"/>
    <col min="3594" max="3594" width="14.7109375" customWidth="1"/>
    <col min="3595" max="3595" width="4.7109375" customWidth="1"/>
    <col min="3596" max="3596" width="5.7109375" customWidth="1"/>
    <col min="3597" max="3597" width="7.42578125" customWidth="1"/>
    <col min="3598" max="3598" width="13.85546875" customWidth="1"/>
    <col min="3599" max="3600" width="13.85546875" bestFit="1" customWidth="1"/>
    <col min="3601" max="3601" width="11.85546875" bestFit="1" customWidth="1"/>
    <col min="3602" max="3602" width="12.7109375" bestFit="1" customWidth="1"/>
    <col min="3842" max="3842" width="18.85546875" bestFit="1" customWidth="1"/>
    <col min="3843" max="3843" width="10.140625" bestFit="1" customWidth="1"/>
    <col min="3844" max="3844" width="12.7109375" bestFit="1" customWidth="1"/>
    <col min="3845" max="3845" width="44.85546875" bestFit="1" customWidth="1"/>
    <col min="3846" max="3846" width="10.140625" customWidth="1"/>
    <col min="3847" max="3847" width="12.7109375" customWidth="1"/>
    <col min="3848" max="3848" width="13.28515625" customWidth="1"/>
    <col min="3849" max="3849" width="8.42578125" customWidth="1"/>
    <col min="3850" max="3850" width="14.7109375" customWidth="1"/>
    <col min="3851" max="3851" width="4.7109375" customWidth="1"/>
    <col min="3852" max="3852" width="5.7109375" customWidth="1"/>
    <col min="3853" max="3853" width="7.42578125" customWidth="1"/>
    <col min="3854" max="3854" width="13.85546875" customWidth="1"/>
    <col min="3855" max="3856" width="13.85546875" bestFit="1" customWidth="1"/>
    <col min="3857" max="3857" width="11.85546875" bestFit="1" customWidth="1"/>
    <col min="3858" max="3858" width="12.7109375" bestFit="1" customWidth="1"/>
    <col min="4098" max="4098" width="18.85546875" bestFit="1" customWidth="1"/>
    <col min="4099" max="4099" width="10.140625" bestFit="1" customWidth="1"/>
    <col min="4100" max="4100" width="12.7109375" bestFit="1" customWidth="1"/>
    <col min="4101" max="4101" width="44.85546875" bestFit="1" customWidth="1"/>
    <col min="4102" max="4102" width="10.140625" customWidth="1"/>
    <col min="4103" max="4103" width="12.7109375" customWidth="1"/>
    <col min="4104" max="4104" width="13.28515625" customWidth="1"/>
    <col min="4105" max="4105" width="8.42578125" customWidth="1"/>
    <col min="4106" max="4106" width="14.7109375" customWidth="1"/>
    <col min="4107" max="4107" width="4.7109375" customWidth="1"/>
    <col min="4108" max="4108" width="5.7109375" customWidth="1"/>
    <col min="4109" max="4109" width="7.42578125" customWidth="1"/>
    <col min="4110" max="4110" width="13.85546875" customWidth="1"/>
    <col min="4111" max="4112" width="13.85546875" bestFit="1" customWidth="1"/>
    <col min="4113" max="4113" width="11.85546875" bestFit="1" customWidth="1"/>
    <col min="4114" max="4114" width="12.7109375" bestFit="1" customWidth="1"/>
    <col min="4354" max="4354" width="18.85546875" bestFit="1" customWidth="1"/>
    <col min="4355" max="4355" width="10.140625" bestFit="1" customWidth="1"/>
    <col min="4356" max="4356" width="12.7109375" bestFit="1" customWidth="1"/>
    <col min="4357" max="4357" width="44.85546875" bestFit="1" customWidth="1"/>
    <col min="4358" max="4358" width="10.140625" customWidth="1"/>
    <col min="4359" max="4359" width="12.7109375" customWidth="1"/>
    <col min="4360" max="4360" width="13.28515625" customWidth="1"/>
    <col min="4361" max="4361" width="8.42578125" customWidth="1"/>
    <col min="4362" max="4362" width="14.7109375" customWidth="1"/>
    <col min="4363" max="4363" width="4.7109375" customWidth="1"/>
    <col min="4364" max="4364" width="5.7109375" customWidth="1"/>
    <col min="4365" max="4365" width="7.42578125" customWidth="1"/>
    <col min="4366" max="4366" width="13.85546875" customWidth="1"/>
    <col min="4367" max="4368" width="13.85546875" bestFit="1" customWidth="1"/>
    <col min="4369" max="4369" width="11.85546875" bestFit="1" customWidth="1"/>
    <col min="4370" max="4370" width="12.7109375" bestFit="1" customWidth="1"/>
    <col min="4610" max="4610" width="18.85546875" bestFit="1" customWidth="1"/>
    <col min="4611" max="4611" width="10.140625" bestFit="1" customWidth="1"/>
    <col min="4612" max="4612" width="12.7109375" bestFit="1" customWidth="1"/>
    <col min="4613" max="4613" width="44.85546875" bestFit="1" customWidth="1"/>
    <col min="4614" max="4614" width="10.140625" customWidth="1"/>
    <col min="4615" max="4615" width="12.7109375" customWidth="1"/>
    <col min="4616" max="4616" width="13.28515625" customWidth="1"/>
    <col min="4617" max="4617" width="8.42578125" customWidth="1"/>
    <col min="4618" max="4618" width="14.7109375" customWidth="1"/>
    <col min="4619" max="4619" width="4.7109375" customWidth="1"/>
    <col min="4620" max="4620" width="5.7109375" customWidth="1"/>
    <col min="4621" max="4621" width="7.42578125" customWidth="1"/>
    <col min="4622" max="4622" width="13.85546875" customWidth="1"/>
    <col min="4623" max="4624" width="13.85546875" bestFit="1" customWidth="1"/>
    <col min="4625" max="4625" width="11.85546875" bestFit="1" customWidth="1"/>
    <col min="4626" max="4626" width="12.7109375" bestFit="1" customWidth="1"/>
    <col min="4866" max="4866" width="18.85546875" bestFit="1" customWidth="1"/>
    <col min="4867" max="4867" width="10.140625" bestFit="1" customWidth="1"/>
    <col min="4868" max="4868" width="12.7109375" bestFit="1" customWidth="1"/>
    <col min="4869" max="4869" width="44.85546875" bestFit="1" customWidth="1"/>
    <col min="4870" max="4870" width="10.140625" customWidth="1"/>
    <col min="4871" max="4871" width="12.7109375" customWidth="1"/>
    <col min="4872" max="4872" width="13.28515625" customWidth="1"/>
    <col min="4873" max="4873" width="8.42578125" customWidth="1"/>
    <col min="4874" max="4874" width="14.7109375" customWidth="1"/>
    <col min="4875" max="4875" width="4.7109375" customWidth="1"/>
    <col min="4876" max="4876" width="5.7109375" customWidth="1"/>
    <col min="4877" max="4877" width="7.42578125" customWidth="1"/>
    <col min="4878" max="4878" width="13.85546875" customWidth="1"/>
    <col min="4879" max="4880" width="13.85546875" bestFit="1" customWidth="1"/>
    <col min="4881" max="4881" width="11.85546875" bestFit="1" customWidth="1"/>
    <col min="4882" max="4882" width="12.7109375" bestFit="1" customWidth="1"/>
    <col min="5122" max="5122" width="18.85546875" bestFit="1" customWidth="1"/>
    <col min="5123" max="5123" width="10.140625" bestFit="1" customWidth="1"/>
    <col min="5124" max="5124" width="12.7109375" bestFit="1" customWidth="1"/>
    <col min="5125" max="5125" width="44.85546875" bestFit="1" customWidth="1"/>
    <col min="5126" max="5126" width="10.140625" customWidth="1"/>
    <col min="5127" max="5127" width="12.7109375" customWidth="1"/>
    <col min="5128" max="5128" width="13.28515625" customWidth="1"/>
    <col min="5129" max="5129" width="8.42578125" customWidth="1"/>
    <col min="5130" max="5130" width="14.7109375" customWidth="1"/>
    <col min="5131" max="5131" width="4.7109375" customWidth="1"/>
    <col min="5132" max="5132" width="5.7109375" customWidth="1"/>
    <col min="5133" max="5133" width="7.42578125" customWidth="1"/>
    <col min="5134" max="5134" width="13.85546875" customWidth="1"/>
    <col min="5135" max="5136" width="13.85546875" bestFit="1" customWidth="1"/>
    <col min="5137" max="5137" width="11.85546875" bestFit="1" customWidth="1"/>
    <col min="5138" max="5138" width="12.7109375" bestFit="1" customWidth="1"/>
    <col min="5378" max="5378" width="18.85546875" bestFit="1" customWidth="1"/>
    <col min="5379" max="5379" width="10.140625" bestFit="1" customWidth="1"/>
    <col min="5380" max="5380" width="12.7109375" bestFit="1" customWidth="1"/>
    <col min="5381" max="5381" width="44.85546875" bestFit="1" customWidth="1"/>
    <col min="5382" max="5382" width="10.140625" customWidth="1"/>
    <col min="5383" max="5383" width="12.7109375" customWidth="1"/>
    <col min="5384" max="5384" width="13.28515625" customWidth="1"/>
    <col min="5385" max="5385" width="8.42578125" customWidth="1"/>
    <col min="5386" max="5386" width="14.7109375" customWidth="1"/>
    <col min="5387" max="5387" width="4.7109375" customWidth="1"/>
    <col min="5388" max="5388" width="5.7109375" customWidth="1"/>
    <col min="5389" max="5389" width="7.42578125" customWidth="1"/>
    <col min="5390" max="5390" width="13.85546875" customWidth="1"/>
    <col min="5391" max="5392" width="13.85546875" bestFit="1" customWidth="1"/>
    <col min="5393" max="5393" width="11.85546875" bestFit="1" customWidth="1"/>
    <col min="5394" max="5394" width="12.7109375" bestFit="1" customWidth="1"/>
    <col min="5634" max="5634" width="18.85546875" bestFit="1" customWidth="1"/>
    <col min="5635" max="5635" width="10.140625" bestFit="1" customWidth="1"/>
    <col min="5636" max="5636" width="12.7109375" bestFit="1" customWidth="1"/>
    <col min="5637" max="5637" width="44.85546875" bestFit="1" customWidth="1"/>
    <col min="5638" max="5638" width="10.140625" customWidth="1"/>
    <col min="5639" max="5639" width="12.7109375" customWidth="1"/>
    <col min="5640" max="5640" width="13.28515625" customWidth="1"/>
    <col min="5641" max="5641" width="8.42578125" customWidth="1"/>
    <col min="5642" max="5642" width="14.7109375" customWidth="1"/>
    <col min="5643" max="5643" width="4.7109375" customWidth="1"/>
    <col min="5644" max="5644" width="5.7109375" customWidth="1"/>
    <col min="5645" max="5645" width="7.42578125" customWidth="1"/>
    <col min="5646" max="5646" width="13.85546875" customWidth="1"/>
    <col min="5647" max="5648" width="13.85546875" bestFit="1" customWidth="1"/>
    <col min="5649" max="5649" width="11.85546875" bestFit="1" customWidth="1"/>
    <col min="5650" max="5650" width="12.7109375" bestFit="1" customWidth="1"/>
    <col min="5890" max="5890" width="18.85546875" bestFit="1" customWidth="1"/>
    <col min="5891" max="5891" width="10.140625" bestFit="1" customWidth="1"/>
    <col min="5892" max="5892" width="12.7109375" bestFit="1" customWidth="1"/>
    <col min="5893" max="5893" width="44.85546875" bestFit="1" customWidth="1"/>
    <col min="5894" max="5894" width="10.140625" customWidth="1"/>
    <col min="5895" max="5895" width="12.7109375" customWidth="1"/>
    <col min="5896" max="5896" width="13.28515625" customWidth="1"/>
    <col min="5897" max="5897" width="8.42578125" customWidth="1"/>
    <col min="5898" max="5898" width="14.7109375" customWidth="1"/>
    <col min="5899" max="5899" width="4.7109375" customWidth="1"/>
    <col min="5900" max="5900" width="5.7109375" customWidth="1"/>
    <col min="5901" max="5901" width="7.42578125" customWidth="1"/>
    <col min="5902" max="5902" width="13.85546875" customWidth="1"/>
    <col min="5903" max="5904" width="13.85546875" bestFit="1" customWidth="1"/>
    <col min="5905" max="5905" width="11.85546875" bestFit="1" customWidth="1"/>
    <col min="5906" max="5906" width="12.7109375" bestFit="1" customWidth="1"/>
    <col min="6146" max="6146" width="18.85546875" bestFit="1" customWidth="1"/>
    <col min="6147" max="6147" width="10.140625" bestFit="1" customWidth="1"/>
    <col min="6148" max="6148" width="12.7109375" bestFit="1" customWidth="1"/>
    <col min="6149" max="6149" width="44.85546875" bestFit="1" customWidth="1"/>
    <col min="6150" max="6150" width="10.140625" customWidth="1"/>
    <col min="6151" max="6151" width="12.7109375" customWidth="1"/>
    <col min="6152" max="6152" width="13.28515625" customWidth="1"/>
    <col min="6153" max="6153" width="8.42578125" customWidth="1"/>
    <col min="6154" max="6154" width="14.7109375" customWidth="1"/>
    <col min="6155" max="6155" width="4.7109375" customWidth="1"/>
    <col min="6156" max="6156" width="5.7109375" customWidth="1"/>
    <col min="6157" max="6157" width="7.42578125" customWidth="1"/>
    <col min="6158" max="6158" width="13.85546875" customWidth="1"/>
    <col min="6159" max="6160" width="13.85546875" bestFit="1" customWidth="1"/>
    <col min="6161" max="6161" width="11.85546875" bestFit="1" customWidth="1"/>
    <col min="6162" max="6162" width="12.7109375" bestFit="1" customWidth="1"/>
    <col min="6402" max="6402" width="18.85546875" bestFit="1" customWidth="1"/>
    <col min="6403" max="6403" width="10.140625" bestFit="1" customWidth="1"/>
    <col min="6404" max="6404" width="12.7109375" bestFit="1" customWidth="1"/>
    <col min="6405" max="6405" width="44.85546875" bestFit="1" customWidth="1"/>
    <col min="6406" max="6406" width="10.140625" customWidth="1"/>
    <col min="6407" max="6407" width="12.7109375" customWidth="1"/>
    <col min="6408" max="6408" width="13.28515625" customWidth="1"/>
    <col min="6409" max="6409" width="8.42578125" customWidth="1"/>
    <col min="6410" max="6410" width="14.7109375" customWidth="1"/>
    <col min="6411" max="6411" width="4.7109375" customWidth="1"/>
    <col min="6412" max="6412" width="5.7109375" customWidth="1"/>
    <col min="6413" max="6413" width="7.42578125" customWidth="1"/>
    <col min="6414" max="6414" width="13.85546875" customWidth="1"/>
    <col min="6415" max="6416" width="13.85546875" bestFit="1" customWidth="1"/>
    <col min="6417" max="6417" width="11.85546875" bestFit="1" customWidth="1"/>
    <col min="6418" max="6418" width="12.7109375" bestFit="1" customWidth="1"/>
    <col min="6658" max="6658" width="18.85546875" bestFit="1" customWidth="1"/>
    <col min="6659" max="6659" width="10.140625" bestFit="1" customWidth="1"/>
    <col min="6660" max="6660" width="12.7109375" bestFit="1" customWidth="1"/>
    <col min="6661" max="6661" width="44.85546875" bestFit="1" customWidth="1"/>
    <col min="6662" max="6662" width="10.140625" customWidth="1"/>
    <col min="6663" max="6663" width="12.7109375" customWidth="1"/>
    <col min="6664" max="6664" width="13.28515625" customWidth="1"/>
    <col min="6665" max="6665" width="8.42578125" customWidth="1"/>
    <col min="6666" max="6666" width="14.7109375" customWidth="1"/>
    <col min="6667" max="6667" width="4.7109375" customWidth="1"/>
    <col min="6668" max="6668" width="5.7109375" customWidth="1"/>
    <col min="6669" max="6669" width="7.42578125" customWidth="1"/>
    <col min="6670" max="6670" width="13.85546875" customWidth="1"/>
    <col min="6671" max="6672" width="13.85546875" bestFit="1" customWidth="1"/>
    <col min="6673" max="6673" width="11.85546875" bestFit="1" customWidth="1"/>
    <col min="6674" max="6674" width="12.7109375" bestFit="1" customWidth="1"/>
    <col min="6914" max="6914" width="18.85546875" bestFit="1" customWidth="1"/>
    <col min="6915" max="6915" width="10.140625" bestFit="1" customWidth="1"/>
    <col min="6916" max="6916" width="12.7109375" bestFit="1" customWidth="1"/>
    <col min="6917" max="6917" width="44.85546875" bestFit="1" customWidth="1"/>
    <col min="6918" max="6918" width="10.140625" customWidth="1"/>
    <col min="6919" max="6919" width="12.7109375" customWidth="1"/>
    <col min="6920" max="6920" width="13.28515625" customWidth="1"/>
    <col min="6921" max="6921" width="8.42578125" customWidth="1"/>
    <col min="6922" max="6922" width="14.7109375" customWidth="1"/>
    <col min="6923" max="6923" width="4.7109375" customWidth="1"/>
    <col min="6924" max="6924" width="5.7109375" customWidth="1"/>
    <col min="6925" max="6925" width="7.42578125" customWidth="1"/>
    <col min="6926" max="6926" width="13.85546875" customWidth="1"/>
    <col min="6927" max="6928" width="13.85546875" bestFit="1" customWidth="1"/>
    <col min="6929" max="6929" width="11.85546875" bestFit="1" customWidth="1"/>
    <col min="6930" max="6930" width="12.7109375" bestFit="1" customWidth="1"/>
    <col min="7170" max="7170" width="18.85546875" bestFit="1" customWidth="1"/>
    <col min="7171" max="7171" width="10.140625" bestFit="1" customWidth="1"/>
    <col min="7172" max="7172" width="12.7109375" bestFit="1" customWidth="1"/>
    <col min="7173" max="7173" width="44.85546875" bestFit="1" customWidth="1"/>
    <col min="7174" max="7174" width="10.140625" customWidth="1"/>
    <col min="7175" max="7175" width="12.7109375" customWidth="1"/>
    <col min="7176" max="7176" width="13.28515625" customWidth="1"/>
    <col min="7177" max="7177" width="8.42578125" customWidth="1"/>
    <col min="7178" max="7178" width="14.7109375" customWidth="1"/>
    <col min="7179" max="7179" width="4.7109375" customWidth="1"/>
    <col min="7180" max="7180" width="5.7109375" customWidth="1"/>
    <col min="7181" max="7181" width="7.42578125" customWidth="1"/>
    <col min="7182" max="7182" width="13.85546875" customWidth="1"/>
    <col min="7183" max="7184" width="13.85546875" bestFit="1" customWidth="1"/>
    <col min="7185" max="7185" width="11.85546875" bestFit="1" customWidth="1"/>
    <col min="7186" max="7186" width="12.7109375" bestFit="1" customWidth="1"/>
    <col min="7426" max="7426" width="18.85546875" bestFit="1" customWidth="1"/>
    <col min="7427" max="7427" width="10.140625" bestFit="1" customWidth="1"/>
    <col min="7428" max="7428" width="12.7109375" bestFit="1" customWidth="1"/>
    <col min="7429" max="7429" width="44.85546875" bestFit="1" customWidth="1"/>
    <col min="7430" max="7430" width="10.140625" customWidth="1"/>
    <col min="7431" max="7431" width="12.7109375" customWidth="1"/>
    <col min="7432" max="7432" width="13.28515625" customWidth="1"/>
    <col min="7433" max="7433" width="8.42578125" customWidth="1"/>
    <col min="7434" max="7434" width="14.7109375" customWidth="1"/>
    <col min="7435" max="7435" width="4.7109375" customWidth="1"/>
    <col min="7436" max="7436" width="5.7109375" customWidth="1"/>
    <col min="7437" max="7437" width="7.42578125" customWidth="1"/>
    <col min="7438" max="7438" width="13.85546875" customWidth="1"/>
    <col min="7439" max="7440" width="13.85546875" bestFit="1" customWidth="1"/>
    <col min="7441" max="7441" width="11.85546875" bestFit="1" customWidth="1"/>
    <col min="7442" max="7442" width="12.7109375" bestFit="1" customWidth="1"/>
    <col min="7682" max="7682" width="18.85546875" bestFit="1" customWidth="1"/>
    <col min="7683" max="7683" width="10.140625" bestFit="1" customWidth="1"/>
    <col min="7684" max="7684" width="12.7109375" bestFit="1" customWidth="1"/>
    <col min="7685" max="7685" width="44.85546875" bestFit="1" customWidth="1"/>
    <col min="7686" max="7686" width="10.140625" customWidth="1"/>
    <col min="7687" max="7687" width="12.7109375" customWidth="1"/>
    <col min="7688" max="7688" width="13.28515625" customWidth="1"/>
    <col min="7689" max="7689" width="8.42578125" customWidth="1"/>
    <col min="7690" max="7690" width="14.7109375" customWidth="1"/>
    <col min="7691" max="7691" width="4.7109375" customWidth="1"/>
    <col min="7692" max="7692" width="5.7109375" customWidth="1"/>
    <col min="7693" max="7693" width="7.42578125" customWidth="1"/>
    <col min="7694" max="7694" width="13.85546875" customWidth="1"/>
    <col min="7695" max="7696" width="13.85546875" bestFit="1" customWidth="1"/>
    <col min="7697" max="7697" width="11.85546875" bestFit="1" customWidth="1"/>
    <col min="7698" max="7698" width="12.7109375" bestFit="1" customWidth="1"/>
    <col min="7938" max="7938" width="18.85546875" bestFit="1" customWidth="1"/>
    <col min="7939" max="7939" width="10.140625" bestFit="1" customWidth="1"/>
    <col min="7940" max="7940" width="12.7109375" bestFit="1" customWidth="1"/>
    <col min="7941" max="7941" width="44.85546875" bestFit="1" customWidth="1"/>
    <col min="7942" max="7942" width="10.140625" customWidth="1"/>
    <col min="7943" max="7943" width="12.7109375" customWidth="1"/>
    <col min="7944" max="7944" width="13.28515625" customWidth="1"/>
    <col min="7945" max="7945" width="8.42578125" customWidth="1"/>
    <col min="7946" max="7946" width="14.7109375" customWidth="1"/>
    <col min="7947" max="7947" width="4.7109375" customWidth="1"/>
    <col min="7948" max="7948" width="5.7109375" customWidth="1"/>
    <col min="7949" max="7949" width="7.42578125" customWidth="1"/>
    <col min="7950" max="7950" width="13.85546875" customWidth="1"/>
    <col min="7951" max="7952" width="13.85546875" bestFit="1" customWidth="1"/>
    <col min="7953" max="7953" width="11.85546875" bestFit="1" customWidth="1"/>
    <col min="7954" max="7954" width="12.7109375" bestFit="1" customWidth="1"/>
    <col min="8194" max="8194" width="18.85546875" bestFit="1" customWidth="1"/>
    <col min="8195" max="8195" width="10.140625" bestFit="1" customWidth="1"/>
    <col min="8196" max="8196" width="12.7109375" bestFit="1" customWidth="1"/>
    <col min="8197" max="8197" width="44.85546875" bestFit="1" customWidth="1"/>
    <col min="8198" max="8198" width="10.140625" customWidth="1"/>
    <col min="8199" max="8199" width="12.7109375" customWidth="1"/>
    <col min="8200" max="8200" width="13.28515625" customWidth="1"/>
    <col min="8201" max="8201" width="8.42578125" customWidth="1"/>
    <col min="8202" max="8202" width="14.7109375" customWidth="1"/>
    <col min="8203" max="8203" width="4.7109375" customWidth="1"/>
    <col min="8204" max="8204" width="5.7109375" customWidth="1"/>
    <col min="8205" max="8205" width="7.42578125" customWidth="1"/>
    <col min="8206" max="8206" width="13.85546875" customWidth="1"/>
    <col min="8207" max="8208" width="13.85546875" bestFit="1" customWidth="1"/>
    <col min="8209" max="8209" width="11.85546875" bestFit="1" customWidth="1"/>
    <col min="8210" max="8210" width="12.7109375" bestFit="1" customWidth="1"/>
    <col min="8450" max="8450" width="18.85546875" bestFit="1" customWidth="1"/>
    <col min="8451" max="8451" width="10.140625" bestFit="1" customWidth="1"/>
    <col min="8452" max="8452" width="12.7109375" bestFit="1" customWidth="1"/>
    <col min="8453" max="8453" width="44.85546875" bestFit="1" customWidth="1"/>
    <col min="8454" max="8454" width="10.140625" customWidth="1"/>
    <col min="8455" max="8455" width="12.7109375" customWidth="1"/>
    <col min="8456" max="8456" width="13.28515625" customWidth="1"/>
    <col min="8457" max="8457" width="8.42578125" customWidth="1"/>
    <col min="8458" max="8458" width="14.7109375" customWidth="1"/>
    <col min="8459" max="8459" width="4.7109375" customWidth="1"/>
    <col min="8460" max="8460" width="5.7109375" customWidth="1"/>
    <col min="8461" max="8461" width="7.42578125" customWidth="1"/>
    <col min="8462" max="8462" width="13.85546875" customWidth="1"/>
    <col min="8463" max="8464" width="13.85546875" bestFit="1" customWidth="1"/>
    <col min="8465" max="8465" width="11.85546875" bestFit="1" customWidth="1"/>
    <col min="8466" max="8466" width="12.7109375" bestFit="1" customWidth="1"/>
    <col min="8706" max="8706" width="18.85546875" bestFit="1" customWidth="1"/>
    <col min="8707" max="8707" width="10.140625" bestFit="1" customWidth="1"/>
    <col min="8708" max="8708" width="12.7109375" bestFit="1" customWidth="1"/>
    <col min="8709" max="8709" width="44.85546875" bestFit="1" customWidth="1"/>
    <col min="8710" max="8710" width="10.140625" customWidth="1"/>
    <col min="8711" max="8711" width="12.7109375" customWidth="1"/>
    <col min="8712" max="8712" width="13.28515625" customWidth="1"/>
    <col min="8713" max="8713" width="8.42578125" customWidth="1"/>
    <col min="8714" max="8714" width="14.7109375" customWidth="1"/>
    <col min="8715" max="8715" width="4.7109375" customWidth="1"/>
    <col min="8716" max="8716" width="5.7109375" customWidth="1"/>
    <col min="8717" max="8717" width="7.42578125" customWidth="1"/>
    <col min="8718" max="8718" width="13.85546875" customWidth="1"/>
    <col min="8719" max="8720" width="13.85546875" bestFit="1" customWidth="1"/>
    <col min="8721" max="8721" width="11.85546875" bestFit="1" customWidth="1"/>
    <col min="8722" max="8722" width="12.7109375" bestFit="1" customWidth="1"/>
    <col min="8962" max="8962" width="18.85546875" bestFit="1" customWidth="1"/>
    <col min="8963" max="8963" width="10.140625" bestFit="1" customWidth="1"/>
    <col min="8964" max="8964" width="12.7109375" bestFit="1" customWidth="1"/>
    <col min="8965" max="8965" width="44.85546875" bestFit="1" customWidth="1"/>
    <col min="8966" max="8966" width="10.140625" customWidth="1"/>
    <col min="8967" max="8967" width="12.7109375" customWidth="1"/>
    <col min="8968" max="8968" width="13.28515625" customWidth="1"/>
    <col min="8969" max="8969" width="8.42578125" customWidth="1"/>
    <col min="8970" max="8970" width="14.7109375" customWidth="1"/>
    <col min="8971" max="8971" width="4.7109375" customWidth="1"/>
    <col min="8972" max="8972" width="5.7109375" customWidth="1"/>
    <col min="8973" max="8973" width="7.42578125" customWidth="1"/>
    <col min="8974" max="8974" width="13.85546875" customWidth="1"/>
    <col min="8975" max="8976" width="13.85546875" bestFit="1" customWidth="1"/>
    <col min="8977" max="8977" width="11.85546875" bestFit="1" customWidth="1"/>
    <col min="8978" max="8978" width="12.7109375" bestFit="1" customWidth="1"/>
    <col min="9218" max="9218" width="18.85546875" bestFit="1" customWidth="1"/>
    <col min="9219" max="9219" width="10.140625" bestFit="1" customWidth="1"/>
    <col min="9220" max="9220" width="12.7109375" bestFit="1" customWidth="1"/>
    <col min="9221" max="9221" width="44.85546875" bestFit="1" customWidth="1"/>
    <col min="9222" max="9222" width="10.140625" customWidth="1"/>
    <col min="9223" max="9223" width="12.7109375" customWidth="1"/>
    <col min="9224" max="9224" width="13.28515625" customWidth="1"/>
    <col min="9225" max="9225" width="8.42578125" customWidth="1"/>
    <col min="9226" max="9226" width="14.7109375" customWidth="1"/>
    <col min="9227" max="9227" width="4.7109375" customWidth="1"/>
    <col min="9228" max="9228" width="5.7109375" customWidth="1"/>
    <col min="9229" max="9229" width="7.42578125" customWidth="1"/>
    <col min="9230" max="9230" width="13.85546875" customWidth="1"/>
    <col min="9231" max="9232" width="13.85546875" bestFit="1" customWidth="1"/>
    <col min="9233" max="9233" width="11.85546875" bestFit="1" customWidth="1"/>
    <col min="9234" max="9234" width="12.7109375" bestFit="1" customWidth="1"/>
    <col min="9474" max="9474" width="18.85546875" bestFit="1" customWidth="1"/>
    <col min="9475" max="9475" width="10.140625" bestFit="1" customWidth="1"/>
    <col min="9476" max="9476" width="12.7109375" bestFit="1" customWidth="1"/>
    <col min="9477" max="9477" width="44.85546875" bestFit="1" customWidth="1"/>
    <col min="9478" max="9478" width="10.140625" customWidth="1"/>
    <col min="9479" max="9479" width="12.7109375" customWidth="1"/>
    <col min="9480" max="9480" width="13.28515625" customWidth="1"/>
    <col min="9481" max="9481" width="8.42578125" customWidth="1"/>
    <col min="9482" max="9482" width="14.7109375" customWidth="1"/>
    <col min="9483" max="9483" width="4.7109375" customWidth="1"/>
    <col min="9484" max="9484" width="5.7109375" customWidth="1"/>
    <col min="9485" max="9485" width="7.42578125" customWidth="1"/>
    <col min="9486" max="9486" width="13.85546875" customWidth="1"/>
    <col min="9487" max="9488" width="13.85546875" bestFit="1" customWidth="1"/>
    <col min="9489" max="9489" width="11.85546875" bestFit="1" customWidth="1"/>
    <col min="9490" max="9490" width="12.7109375" bestFit="1" customWidth="1"/>
    <col min="9730" max="9730" width="18.85546875" bestFit="1" customWidth="1"/>
    <col min="9731" max="9731" width="10.140625" bestFit="1" customWidth="1"/>
    <col min="9732" max="9732" width="12.7109375" bestFit="1" customWidth="1"/>
    <col min="9733" max="9733" width="44.85546875" bestFit="1" customWidth="1"/>
    <col min="9734" max="9734" width="10.140625" customWidth="1"/>
    <col min="9735" max="9735" width="12.7109375" customWidth="1"/>
    <col min="9736" max="9736" width="13.28515625" customWidth="1"/>
    <col min="9737" max="9737" width="8.42578125" customWidth="1"/>
    <col min="9738" max="9738" width="14.7109375" customWidth="1"/>
    <col min="9739" max="9739" width="4.7109375" customWidth="1"/>
    <col min="9740" max="9740" width="5.7109375" customWidth="1"/>
    <col min="9741" max="9741" width="7.42578125" customWidth="1"/>
    <col min="9742" max="9742" width="13.85546875" customWidth="1"/>
    <col min="9743" max="9744" width="13.85546875" bestFit="1" customWidth="1"/>
    <col min="9745" max="9745" width="11.85546875" bestFit="1" customWidth="1"/>
    <col min="9746" max="9746" width="12.7109375" bestFit="1" customWidth="1"/>
    <col min="9986" max="9986" width="18.85546875" bestFit="1" customWidth="1"/>
    <col min="9987" max="9987" width="10.140625" bestFit="1" customWidth="1"/>
    <col min="9988" max="9988" width="12.7109375" bestFit="1" customWidth="1"/>
    <col min="9989" max="9989" width="44.85546875" bestFit="1" customWidth="1"/>
    <col min="9990" max="9990" width="10.140625" customWidth="1"/>
    <col min="9991" max="9991" width="12.7109375" customWidth="1"/>
    <col min="9992" max="9992" width="13.28515625" customWidth="1"/>
    <col min="9993" max="9993" width="8.42578125" customWidth="1"/>
    <col min="9994" max="9994" width="14.7109375" customWidth="1"/>
    <col min="9995" max="9995" width="4.7109375" customWidth="1"/>
    <col min="9996" max="9996" width="5.7109375" customWidth="1"/>
    <col min="9997" max="9997" width="7.42578125" customWidth="1"/>
    <col min="9998" max="9998" width="13.85546875" customWidth="1"/>
    <col min="9999" max="10000" width="13.85546875" bestFit="1" customWidth="1"/>
    <col min="10001" max="10001" width="11.85546875" bestFit="1" customWidth="1"/>
    <col min="10002" max="10002" width="12.7109375" bestFit="1" customWidth="1"/>
    <col min="10242" max="10242" width="18.85546875" bestFit="1" customWidth="1"/>
    <col min="10243" max="10243" width="10.140625" bestFit="1" customWidth="1"/>
    <col min="10244" max="10244" width="12.7109375" bestFit="1" customWidth="1"/>
    <col min="10245" max="10245" width="44.85546875" bestFit="1" customWidth="1"/>
    <col min="10246" max="10246" width="10.140625" customWidth="1"/>
    <col min="10247" max="10247" width="12.7109375" customWidth="1"/>
    <col min="10248" max="10248" width="13.28515625" customWidth="1"/>
    <col min="10249" max="10249" width="8.42578125" customWidth="1"/>
    <col min="10250" max="10250" width="14.7109375" customWidth="1"/>
    <col min="10251" max="10251" width="4.7109375" customWidth="1"/>
    <col min="10252" max="10252" width="5.7109375" customWidth="1"/>
    <col min="10253" max="10253" width="7.42578125" customWidth="1"/>
    <col min="10254" max="10254" width="13.85546875" customWidth="1"/>
    <col min="10255" max="10256" width="13.85546875" bestFit="1" customWidth="1"/>
    <col min="10257" max="10257" width="11.85546875" bestFit="1" customWidth="1"/>
    <col min="10258" max="10258" width="12.7109375" bestFit="1" customWidth="1"/>
    <col min="10498" max="10498" width="18.85546875" bestFit="1" customWidth="1"/>
    <col min="10499" max="10499" width="10.140625" bestFit="1" customWidth="1"/>
    <col min="10500" max="10500" width="12.7109375" bestFit="1" customWidth="1"/>
    <col min="10501" max="10501" width="44.85546875" bestFit="1" customWidth="1"/>
    <col min="10502" max="10502" width="10.140625" customWidth="1"/>
    <col min="10503" max="10503" width="12.7109375" customWidth="1"/>
    <col min="10504" max="10504" width="13.28515625" customWidth="1"/>
    <col min="10505" max="10505" width="8.42578125" customWidth="1"/>
    <col min="10506" max="10506" width="14.7109375" customWidth="1"/>
    <col min="10507" max="10507" width="4.7109375" customWidth="1"/>
    <col min="10508" max="10508" width="5.7109375" customWidth="1"/>
    <col min="10509" max="10509" width="7.42578125" customWidth="1"/>
    <col min="10510" max="10510" width="13.85546875" customWidth="1"/>
    <col min="10511" max="10512" width="13.85546875" bestFit="1" customWidth="1"/>
    <col min="10513" max="10513" width="11.85546875" bestFit="1" customWidth="1"/>
    <col min="10514" max="10514" width="12.7109375" bestFit="1" customWidth="1"/>
    <col min="10754" max="10754" width="18.85546875" bestFit="1" customWidth="1"/>
    <col min="10755" max="10755" width="10.140625" bestFit="1" customWidth="1"/>
    <col min="10756" max="10756" width="12.7109375" bestFit="1" customWidth="1"/>
    <col min="10757" max="10757" width="44.85546875" bestFit="1" customWidth="1"/>
    <col min="10758" max="10758" width="10.140625" customWidth="1"/>
    <col min="10759" max="10759" width="12.7109375" customWidth="1"/>
    <col min="10760" max="10760" width="13.28515625" customWidth="1"/>
    <col min="10761" max="10761" width="8.42578125" customWidth="1"/>
    <col min="10762" max="10762" width="14.7109375" customWidth="1"/>
    <col min="10763" max="10763" width="4.7109375" customWidth="1"/>
    <col min="10764" max="10764" width="5.7109375" customWidth="1"/>
    <col min="10765" max="10765" width="7.42578125" customWidth="1"/>
    <col min="10766" max="10766" width="13.85546875" customWidth="1"/>
    <col min="10767" max="10768" width="13.85546875" bestFit="1" customWidth="1"/>
    <col min="10769" max="10769" width="11.85546875" bestFit="1" customWidth="1"/>
    <col min="10770" max="10770" width="12.7109375" bestFit="1" customWidth="1"/>
    <col min="11010" max="11010" width="18.85546875" bestFit="1" customWidth="1"/>
    <col min="11011" max="11011" width="10.140625" bestFit="1" customWidth="1"/>
    <col min="11012" max="11012" width="12.7109375" bestFit="1" customWidth="1"/>
    <col min="11013" max="11013" width="44.85546875" bestFit="1" customWidth="1"/>
    <col min="11014" max="11014" width="10.140625" customWidth="1"/>
    <col min="11015" max="11015" width="12.7109375" customWidth="1"/>
    <col min="11016" max="11016" width="13.28515625" customWidth="1"/>
    <col min="11017" max="11017" width="8.42578125" customWidth="1"/>
    <col min="11018" max="11018" width="14.7109375" customWidth="1"/>
    <col min="11019" max="11019" width="4.7109375" customWidth="1"/>
    <col min="11020" max="11020" width="5.7109375" customWidth="1"/>
    <col min="11021" max="11021" width="7.42578125" customWidth="1"/>
    <col min="11022" max="11022" width="13.85546875" customWidth="1"/>
    <col min="11023" max="11024" width="13.85546875" bestFit="1" customWidth="1"/>
    <col min="11025" max="11025" width="11.85546875" bestFit="1" customWidth="1"/>
    <col min="11026" max="11026" width="12.7109375" bestFit="1" customWidth="1"/>
    <col min="11266" max="11266" width="18.85546875" bestFit="1" customWidth="1"/>
    <col min="11267" max="11267" width="10.140625" bestFit="1" customWidth="1"/>
    <col min="11268" max="11268" width="12.7109375" bestFit="1" customWidth="1"/>
    <col min="11269" max="11269" width="44.85546875" bestFit="1" customWidth="1"/>
    <col min="11270" max="11270" width="10.140625" customWidth="1"/>
    <col min="11271" max="11271" width="12.7109375" customWidth="1"/>
    <col min="11272" max="11272" width="13.28515625" customWidth="1"/>
    <col min="11273" max="11273" width="8.42578125" customWidth="1"/>
    <col min="11274" max="11274" width="14.7109375" customWidth="1"/>
    <col min="11275" max="11275" width="4.7109375" customWidth="1"/>
    <col min="11276" max="11276" width="5.7109375" customWidth="1"/>
    <col min="11277" max="11277" width="7.42578125" customWidth="1"/>
    <col min="11278" max="11278" width="13.85546875" customWidth="1"/>
    <col min="11279" max="11280" width="13.85546875" bestFit="1" customWidth="1"/>
    <col min="11281" max="11281" width="11.85546875" bestFit="1" customWidth="1"/>
    <col min="11282" max="11282" width="12.7109375" bestFit="1" customWidth="1"/>
    <col min="11522" max="11522" width="18.85546875" bestFit="1" customWidth="1"/>
    <col min="11523" max="11523" width="10.140625" bestFit="1" customWidth="1"/>
    <col min="11524" max="11524" width="12.7109375" bestFit="1" customWidth="1"/>
    <col min="11525" max="11525" width="44.85546875" bestFit="1" customWidth="1"/>
    <col min="11526" max="11526" width="10.140625" customWidth="1"/>
    <col min="11527" max="11527" width="12.7109375" customWidth="1"/>
    <col min="11528" max="11528" width="13.28515625" customWidth="1"/>
    <col min="11529" max="11529" width="8.42578125" customWidth="1"/>
    <col min="11530" max="11530" width="14.7109375" customWidth="1"/>
    <col min="11531" max="11531" width="4.7109375" customWidth="1"/>
    <col min="11532" max="11532" width="5.7109375" customWidth="1"/>
    <col min="11533" max="11533" width="7.42578125" customWidth="1"/>
    <col min="11534" max="11534" width="13.85546875" customWidth="1"/>
    <col min="11535" max="11536" width="13.85546875" bestFit="1" customWidth="1"/>
    <col min="11537" max="11537" width="11.85546875" bestFit="1" customWidth="1"/>
    <col min="11538" max="11538" width="12.7109375" bestFit="1" customWidth="1"/>
    <col min="11778" max="11778" width="18.85546875" bestFit="1" customWidth="1"/>
    <col min="11779" max="11779" width="10.140625" bestFit="1" customWidth="1"/>
    <col min="11780" max="11780" width="12.7109375" bestFit="1" customWidth="1"/>
    <col min="11781" max="11781" width="44.85546875" bestFit="1" customWidth="1"/>
    <col min="11782" max="11782" width="10.140625" customWidth="1"/>
    <col min="11783" max="11783" width="12.7109375" customWidth="1"/>
    <col min="11784" max="11784" width="13.28515625" customWidth="1"/>
    <col min="11785" max="11785" width="8.42578125" customWidth="1"/>
    <col min="11786" max="11786" width="14.7109375" customWidth="1"/>
    <col min="11787" max="11787" width="4.7109375" customWidth="1"/>
    <col min="11788" max="11788" width="5.7109375" customWidth="1"/>
    <col min="11789" max="11789" width="7.42578125" customWidth="1"/>
    <col min="11790" max="11790" width="13.85546875" customWidth="1"/>
    <col min="11791" max="11792" width="13.85546875" bestFit="1" customWidth="1"/>
    <col min="11793" max="11793" width="11.85546875" bestFit="1" customWidth="1"/>
    <col min="11794" max="11794" width="12.7109375" bestFit="1" customWidth="1"/>
    <col min="12034" max="12034" width="18.85546875" bestFit="1" customWidth="1"/>
    <col min="12035" max="12035" width="10.140625" bestFit="1" customWidth="1"/>
    <col min="12036" max="12036" width="12.7109375" bestFit="1" customWidth="1"/>
    <col min="12037" max="12037" width="44.85546875" bestFit="1" customWidth="1"/>
    <col min="12038" max="12038" width="10.140625" customWidth="1"/>
    <col min="12039" max="12039" width="12.7109375" customWidth="1"/>
    <col min="12040" max="12040" width="13.28515625" customWidth="1"/>
    <col min="12041" max="12041" width="8.42578125" customWidth="1"/>
    <col min="12042" max="12042" width="14.7109375" customWidth="1"/>
    <col min="12043" max="12043" width="4.7109375" customWidth="1"/>
    <col min="12044" max="12044" width="5.7109375" customWidth="1"/>
    <col min="12045" max="12045" width="7.42578125" customWidth="1"/>
    <col min="12046" max="12046" width="13.85546875" customWidth="1"/>
    <col min="12047" max="12048" width="13.85546875" bestFit="1" customWidth="1"/>
    <col min="12049" max="12049" width="11.85546875" bestFit="1" customWidth="1"/>
    <col min="12050" max="12050" width="12.7109375" bestFit="1" customWidth="1"/>
    <col min="12290" max="12290" width="18.85546875" bestFit="1" customWidth="1"/>
    <col min="12291" max="12291" width="10.140625" bestFit="1" customWidth="1"/>
    <col min="12292" max="12292" width="12.7109375" bestFit="1" customWidth="1"/>
    <col min="12293" max="12293" width="44.85546875" bestFit="1" customWidth="1"/>
    <col min="12294" max="12294" width="10.140625" customWidth="1"/>
    <col min="12295" max="12295" width="12.7109375" customWidth="1"/>
    <col min="12296" max="12296" width="13.28515625" customWidth="1"/>
    <col min="12297" max="12297" width="8.42578125" customWidth="1"/>
    <col min="12298" max="12298" width="14.7109375" customWidth="1"/>
    <col min="12299" max="12299" width="4.7109375" customWidth="1"/>
    <col min="12300" max="12300" width="5.7109375" customWidth="1"/>
    <col min="12301" max="12301" width="7.42578125" customWidth="1"/>
    <col min="12302" max="12302" width="13.85546875" customWidth="1"/>
    <col min="12303" max="12304" width="13.85546875" bestFit="1" customWidth="1"/>
    <col min="12305" max="12305" width="11.85546875" bestFit="1" customWidth="1"/>
    <col min="12306" max="12306" width="12.7109375" bestFit="1" customWidth="1"/>
    <col min="12546" max="12546" width="18.85546875" bestFit="1" customWidth="1"/>
    <col min="12547" max="12547" width="10.140625" bestFit="1" customWidth="1"/>
    <col min="12548" max="12548" width="12.7109375" bestFit="1" customWidth="1"/>
    <col min="12549" max="12549" width="44.85546875" bestFit="1" customWidth="1"/>
    <col min="12550" max="12550" width="10.140625" customWidth="1"/>
    <col min="12551" max="12551" width="12.7109375" customWidth="1"/>
    <col min="12552" max="12552" width="13.28515625" customWidth="1"/>
    <col min="12553" max="12553" width="8.42578125" customWidth="1"/>
    <col min="12554" max="12554" width="14.7109375" customWidth="1"/>
    <col min="12555" max="12555" width="4.7109375" customWidth="1"/>
    <col min="12556" max="12556" width="5.7109375" customWidth="1"/>
    <col min="12557" max="12557" width="7.42578125" customWidth="1"/>
    <col min="12558" max="12558" width="13.85546875" customWidth="1"/>
    <col min="12559" max="12560" width="13.85546875" bestFit="1" customWidth="1"/>
    <col min="12561" max="12561" width="11.85546875" bestFit="1" customWidth="1"/>
    <col min="12562" max="12562" width="12.7109375" bestFit="1" customWidth="1"/>
    <col min="12802" max="12802" width="18.85546875" bestFit="1" customWidth="1"/>
    <col min="12803" max="12803" width="10.140625" bestFit="1" customWidth="1"/>
    <col min="12804" max="12804" width="12.7109375" bestFit="1" customWidth="1"/>
    <col min="12805" max="12805" width="44.85546875" bestFit="1" customWidth="1"/>
    <col min="12806" max="12806" width="10.140625" customWidth="1"/>
    <col min="12807" max="12807" width="12.7109375" customWidth="1"/>
    <col min="12808" max="12808" width="13.28515625" customWidth="1"/>
    <col min="12809" max="12809" width="8.42578125" customWidth="1"/>
    <col min="12810" max="12810" width="14.7109375" customWidth="1"/>
    <col min="12811" max="12811" width="4.7109375" customWidth="1"/>
    <col min="12812" max="12812" width="5.7109375" customWidth="1"/>
    <col min="12813" max="12813" width="7.42578125" customWidth="1"/>
    <col min="12814" max="12814" width="13.85546875" customWidth="1"/>
    <col min="12815" max="12816" width="13.85546875" bestFit="1" customWidth="1"/>
    <col min="12817" max="12817" width="11.85546875" bestFit="1" customWidth="1"/>
    <col min="12818" max="12818" width="12.7109375" bestFit="1" customWidth="1"/>
    <col min="13058" max="13058" width="18.85546875" bestFit="1" customWidth="1"/>
    <col min="13059" max="13059" width="10.140625" bestFit="1" customWidth="1"/>
    <col min="13060" max="13060" width="12.7109375" bestFit="1" customWidth="1"/>
    <col min="13061" max="13061" width="44.85546875" bestFit="1" customWidth="1"/>
    <col min="13062" max="13062" width="10.140625" customWidth="1"/>
    <col min="13063" max="13063" width="12.7109375" customWidth="1"/>
    <col min="13064" max="13064" width="13.28515625" customWidth="1"/>
    <col min="13065" max="13065" width="8.42578125" customWidth="1"/>
    <col min="13066" max="13066" width="14.7109375" customWidth="1"/>
    <col min="13067" max="13067" width="4.7109375" customWidth="1"/>
    <col min="13068" max="13068" width="5.7109375" customWidth="1"/>
    <col min="13069" max="13069" width="7.42578125" customWidth="1"/>
    <col min="13070" max="13070" width="13.85546875" customWidth="1"/>
    <col min="13071" max="13072" width="13.85546875" bestFit="1" customWidth="1"/>
    <col min="13073" max="13073" width="11.85546875" bestFit="1" customWidth="1"/>
    <col min="13074" max="13074" width="12.7109375" bestFit="1" customWidth="1"/>
    <col min="13314" max="13314" width="18.85546875" bestFit="1" customWidth="1"/>
    <col min="13315" max="13315" width="10.140625" bestFit="1" customWidth="1"/>
    <col min="13316" max="13316" width="12.7109375" bestFit="1" customWidth="1"/>
    <col min="13317" max="13317" width="44.85546875" bestFit="1" customWidth="1"/>
    <col min="13318" max="13318" width="10.140625" customWidth="1"/>
    <col min="13319" max="13319" width="12.7109375" customWidth="1"/>
    <col min="13320" max="13320" width="13.28515625" customWidth="1"/>
    <col min="13321" max="13321" width="8.42578125" customWidth="1"/>
    <col min="13322" max="13322" width="14.7109375" customWidth="1"/>
    <col min="13323" max="13323" width="4.7109375" customWidth="1"/>
    <col min="13324" max="13324" width="5.7109375" customWidth="1"/>
    <col min="13325" max="13325" width="7.42578125" customWidth="1"/>
    <col min="13326" max="13326" width="13.85546875" customWidth="1"/>
    <col min="13327" max="13328" width="13.85546875" bestFit="1" customWidth="1"/>
    <col min="13329" max="13329" width="11.85546875" bestFit="1" customWidth="1"/>
    <col min="13330" max="13330" width="12.7109375" bestFit="1" customWidth="1"/>
    <col min="13570" max="13570" width="18.85546875" bestFit="1" customWidth="1"/>
    <col min="13571" max="13571" width="10.140625" bestFit="1" customWidth="1"/>
    <col min="13572" max="13572" width="12.7109375" bestFit="1" customWidth="1"/>
    <col min="13573" max="13573" width="44.85546875" bestFit="1" customWidth="1"/>
    <col min="13574" max="13574" width="10.140625" customWidth="1"/>
    <col min="13575" max="13575" width="12.7109375" customWidth="1"/>
    <col min="13576" max="13576" width="13.28515625" customWidth="1"/>
    <col min="13577" max="13577" width="8.42578125" customWidth="1"/>
    <col min="13578" max="13578" width="14.7109375" customWidth="1"/>
    <col min="13579" max="13579" width="4.7109375" customWidth="1"/>
    <col min="13580" max="13580" width="5.7109375" customWidth="1"/>
    <col min="13581" max="13581" width="7.42578125" customWidth="1"/>
    <col min="13582" max="13582" width="13.85546875" customWidth="1"/>
    <col min="13583" max="13584" width="13.85546875" bestFit="1" customWidth="1"/>
    <col min="13585" max="13585" width="11.85546875" bestFit="1" customWidth="1"/>
    <col min="13586" max="13586" width="12.7109375" bestFit="1" customWidth="1"/>
    <col min="13826" max="13826" width="18.85546875" bestFit="1" customWidth="1"/>
    <col min="13827" max="13827" width="10.140625" bestFit="1" customWidth="1"/>
    <col min="13828" max="13828" width="12.7109375" bestFit="1" customWidth="1"/>
    <col min="13829" max="13829" width="44.85546875" bestFit="1" customWidth="1"/>
    <col min="13830" max="13830" width="10.140625" customWidth="1"/>
    <col min="13831" max="13831" width="12.7109375" customWidth="1"/>
    <col min="13832" max="13832" width="13.28515625" customWidth="1"/>
    <col min="13833" max="13833" width="8.42578125" customWidth="1"/>
    <col min="13834" max="13834" width="14.7109375" customWidth="1"/>
    <col min="13835" max="13835" width="4.7109375" customWidth="1"/>
    <col min="13836" max="13836" width="5.7109375" customWidth="1"/>
    <col min="13837" max="13837" width="7.42578125" customWidth="1"/>
    <col min="13838" max="13838" width="13.85546875" customWidth="1"/>
    <col min="13839" max="13840" width="13.85546875" bestFit="1" customWidth="1"/>
    <col min="13841" max="13841" width="11.85546875" bestFit="1" customWidth="1"/>
    <col min="13842" max="13842" width="12.7109375" bestFit="1" customWidth="1"/>
    <col min="14082" max="14082" width="18.85546875" bestFit="1" customWidth="1"/>
    <col min="14083" max="14083" width="10.140625" bestFit="1" customWidth="1"/>
    <col min="14084" max="14084" width="12.7109375" bestFit="1" customWidth="1"/>
    <col min="14085" max="14085" width="44.85546875" bestFit="1" customWidth="1"/>
    <col min="14086" max="14086" width="10.140625" customWidth="1"/>
    <col min="14087" max="14087" width="12.7109375" customWidth="1"/>
    <col min="14088" max="14088" width="13.28515625" customWidth="1"/>
    <col min="14089" max="14089" width="8.42578125" customWidth="1"/>
    <col min="14090" max="14090" width="14.7109375" customWidth="1"/>
    <col min="14091" max="14091" width="4.7109375" customWidth="1"/>
    <col min="14092" max="14092" width="5.7109375" customWidth="1"/>
    <col min="14093" max="14093" width="7.42578125" customWidth="1"/>
    <col min="14094" max="14094" width="13.85546875" customWidth="1"/>
    <col min="14095" max="14096" width="13.85546875" bestFit="1" customWidth="1"/>
    <col min="14097" max="14097" width="11.85546875" bestFit="1" customWidth="1"/>
    <col min="14098" max="14098" width="12.7109375" bestFit="1" customWidth="1"/>
    <col min="14338" max="14338" width="18.85546875" bestFit="1" customWidth="1"/>
    <col min="14339" max="14339" width="10.140625" bestFit="1" customWidth="1"/>
    <col min="14340" max="14340" width="12.7109375" bestFit="1" customWidth="1"/>
    <col min="14341" max="14341" width="44.85546875" bestFit="1" customWidth="1"/>
    <col min="14342" max="14342" width="10.140625" customWidth="1"/>
    <col min="14343" max="14343" width="12.7109375" customWidth="1"/>
    <col min="14344" max="14344" width="13.28515625" customWidth="1"/>
    <col min="14345" max="14345" width="8.42578125" customWidth="1"/>
    <col min="14346" max="14346" width="14.7109375" customWidth="1"/>
    <col min="14347" max="14347" width="4.7109375" customWidth="1"/>
    <col min="14348" max="14348" width="5.7109375" customWidth="1"/>
    <col min="14349" max="14349" width="7.42578125" customWidth="1"/>
    <col min="14350" max="14350" width="13.85546875" customWidth="1"/>
    <col min="14351" max="14352" width="13.85546875" bestFit="1" customWidth="1"/>
    <col min="14353" max="14353" width="11.85546875" bestFit="1" customWidth="1"/>
    <col min="14354" max="14354" width="12.7109375" bestFit="1" customWidth="1"/>
    <col min="14594" max="14594" width="18.85546875" bestFit="1" customWidth="1"/>
    <col min="14595" max="14595" width="10.140625" bestFit="1" customWidth="1"/>
    <col min="14596" max="14596" width="12.7109375" bestFit="1" customWidth="1"/>
    <col min="14597" max="14597" width="44.85546875" bestFit="1" customWidth="1"/>
    <col min="14598" max="14598" width="10.140625" customWidth="1"/>
    <col min="14599" max="14599" width="12.7109375" customWidth="1"/>
    <col min="14600" max="14600" width="13.28515625" customWidth="1"/>
    <col min="14601" max="14601" width="8.42578125" customWidth="1"/>
    <col min="14602" max="14602" width="14.7109375" customWidth="1"/>
    <col min="14603" max="14603" width="4.7109375" customWidth="1"/>
    <col min="14604" max="14604" width="5.7109375" customWidth="1"/>
    <col min="14605" max="14605" width="7.42578125" customWidth="1"/>
    <col min="14606" max="14606" width="13.85546875" customWidth="1"/>
    <col min="14607" max="14608" width="13.85546875" bestFit="1" customWidth="1"/>
    <col min="14609" max="14609" width="11.85546875" bestFit="1" customWidth="1"/>
    <col min="14610" max="14610" width="12.7109375" bestFit="1" customWidth="1"/>
    <col min="14850" max="14850" width="18.85546875" bestFit="1" customWidth="1"/>
    <col min="14851" max="14851" width="10.140625" bestFit="1" customWidth="1"/>
    <col min="14852" max="14852" width="12.7109375" bestFit="1" customWidth="1"/>
    <col min="14853" max="14853" width="44.85546875" bestFit="1" customWidth="1"/>
    <col min="14854" max="14854" width="10.140625" customWidth="1"/>
    <col min="14855" max="14855" width="12.7109375" customWidth="1"/>
    <col min="14856" max="14856" width="13.28515625" customWidth="1"/>
    <col min="14857" max="14857" width="8.42578125" customWidth="1"/>
    <col min="14858" max="14858" width="14.7109375" customWidth="1"/>
    <col min="14859" max="14859" width="4.7109375" customWidth="1"/>
    <col min="14860" max="14860" width="5.7109375" customWidth="1"/>
    <col min="14861" max="14861" width="7.42578125" customWidth="1"/>
    <col min="14862" max="14862" width="13.85546875" customWidth="1"/>
    <col min="14863" max="14864" width="13.85546875" bestFit="1" customWidth="1"/>
    <col min="14865" max="14865" width="11.85546875" bestFit="1" customWidth="1"/>
    <col min="14866" max="14866" width="12.7109375" bestFit="1" customWidth="1"/>
    <col min="15106" max="15106" width="18.85546875" bestFit="1" customWidth="1"/>
    <col min="15107" max="15107" width="10.140625" bestFit="1" customWidth="1"/>
    <col min="15108" max="15108" width="12.7109375" bestFit="1" customWidth="1"/>
    <col min="15109" max="15109" width="44.85546875" bestFit="1" customWidth="1"/>
    <col min="15110" max="15110" width="10.140625" customWidth="1"/>
    <col min="15111" max="15111" width="12.7109375" customWidth="1"/>
    <col min="15112" max="15112" width="13.28515625" customWidth="1"/>
    <col min="15113" max="15113" width="8.42578125" customWidth="1"/>
    <col min="15114" max="15114" width="14.7109375" customWidth="1"/>
    <col min="15115" max="15115" width="4.7109375" customWidth="1"/>
    <col min="15116" max="15116" width="5.7109375" customWidth="1"/>
    <col min="15117" max="15117" width="7.42578125" customWidth="1"/>
    <col min="15118" max="15118" width="13.85546875" customWidth="1"/>
    <col min="15119" max="15120" width="13.85546875" bestFit="1" customWidth="1"/>
    <col min="15121" max="15121" width="11.85546875" bestFit="1" customWidth="1"/>
    <col min="15122" max="15122" width="12.7109375" bestFit="1" customWidth="1"/>
    <col min="15362" max="15362" width="18.85546875" bestFit="1" customWidth="1"/>
    <col min="15363" max="15363" width="10.140625" bestFit="1" customWidth="1"/>
    <col min="15364" max="15364" width="12.7109375" bestFit="1" customWidth="1"/>
    <col min="15365" max="15365" width="44.85546875" bestFit="1" customWidth="1"/>
    <col min="15366" max="15366" width="10.140625" customWidth="1"/>
    <col min="15367" max="15367" width="12.7109375" customWidth="1"/>
    <col min="15368" max="15368" width="13.28515625" customWidth="1"/>
    <col min="15369" max="15369" width="8.42578125" customWidth="1"/>
    <col min="15370" max="15370" width="14.7109375" customWidth="1"/>
    <col min="15371" max="15371" width="4.7109375" customWidth="1"/>
    <col min="15372" max="15372" width="5.7109375" customWidth="1"/>
    <col min="15373" max="15373" width="7.42578125" customWidth="1"/>
    <col min="15374" max="15374" width="13.85546875" customWidth="1"/>
    <col min="15375" max="15376" width="13.85546875" bestFit="1" customWidth="1"/>
    <col min="15377" max="15377" width="11.85546875" bestFit="1" customWidth="1"/>
    <col min="15378" max="15378" width="12.7109375" bestFit="1" customWidth="1"/>
    <col min="15618" max="15618" width="18.85546875" bestFit="1" customWidth="1"/>
    <col min="15619" max="15619" width="10.140625" bestFit="1" customWidth="1"/>
    <col min="15620" max="15620" width="12.7109375" bestFit="1" customWidth="1"/>
    <col min="15621" max="15621" width="44.85546875" bestFit="1" customWidth="1"/>
    <col min="15622" max="15622" width="10.140625" customWidth="1"/>
    <col min="15623" max="15623" width="12.7109375" customWidth="1"/>
    <col min="15624" max="15624" width="13.28515625" customWidth="1"/>
    <col min="15625" max="15625" width="8.42578125" customWidth="1"/>
    <col min="15626" max="15626" width="14.7109375" customWidth="1"/>
    <col min="15627" max="15627" width="4.7109375" customWidth="1"/>
    <col min="15628" max="15628" width="5.7109375" customWidth="1"/>
    <col min="15629" max="15629" width="7.42578125" customWidth="1"/>
    <col min="15630" max="15630" width="13.85546875" customWidth="1"/>
    <col min="15631" max="15632" width="13.85546875" bestFit="1" customWidth="1"/>
    <col min="15633" max="15633" width="11.85546875" bestFit="1" customWidth="1"/>
    <col min="15634" max="15634" width="12.7109375" bestFit="1" customWidth="1"/>
    <col min="15874" max="15874" width="18.85546875" bestFit="1" customWidth="1"/>
    <col min="15875" max="15875" width="10.140625" bestFit="1" customWidth="1"/>
    <col min="15876" max="15876" width="12.7109375" bestFit="1" customWidth="1"/>
    <col min="15877" max="15877" width="44.85546875" bestFit="1" customWidth="1"/>
    <col min="15878" max="15878" width="10.140625" customWidth="1"/>
    <col min="15879" max="15879" width="12.7109375" customWidth="1"/>
    <col min="15880" max="15880" width="13.28515625" customWidth="1"/>
    <col min="15881" max="15881" width="8.42578125" customWidth="1"/>
    <col min="15882" max="15882" width="14.7109375" customWidth="1"/>
    <col min="15883" max="15883" width="4.7109375" customWidth="1"/>
    <col min="15884" max="15884" width="5.7109375" customWidth="1"/>
    <col min="15885" max="15885" width="7.42578125" customWidth="1"/>
    <col min="15886" max="15886" width="13.85546875" customWidth="1"/>
    <col min="15887" max="15888" width="13.85546875" bestFit="1" customWidth="1"/>
    <col min="15889" max="15889" width="11.85546875" bestFit="1" customWidth="1"/>
    <col min="15890" max="15890" width="12.7109375" bestFit="1" customWidth="1"/>
    <col min="16130" max="16130" width="18.85546875" bestFit="1" customWidth="1"/>
    <col min="16131" max="16131" width="10.140625" bestFit="1" customWidth="1"/>
    <col min="16132" max="16132" width="12.7109375" bestFit="1" customWidth="1"/>
    <col min="16133" max="16133" width="44.85546875" bestFit="1" customWidth="1"/>
    <col min="16134" max="16134" width="10.140625" customWidth="1"/>
    <col min="16135" max="16135" width="12.7109375" customWidth="1"/>
    <col min="16136" max="16136" width="13.28515625" customWidth="1"/>
    <col min="16137" max="16137" width="8.42578125" customWidth="1"/>
    <col min="16138" max="16138" width="14.7109375" customWidth="1"/>
    <col min="16139" max="16139" width="4.7109375" customWidth="1"/>
    <col min="16140" max="16140" width="5.7109375" customWidth="1"/>
    <col min="16141" max="16141" width="7.42578125" customWidth="1"/>
    <col min="16142" max="16142" width="13.85546875" customWidth="1"/>
    <col min="16143" max="16144" width="13.85546875" bestFit="1" customWidth="1"/>
    <col min="16145" max="16145" width="11.85546875" bestFit="1" customWidth="1"/>
    <col min="16146" max="16146" width="12.7109375" bestFit="1" customWidth="1"/>
  </cols>
  <sheetData>
    <row r="1" spans="1:255" s="27" customFormat="1" ht="15.75" x14ac:dyDescent="0.25">
      <c r="G1" s="18">
        <f>+G3+G17+G21+G26+G37+G40+G44</f>
        <v>2.3118174041769635E-12</v>
      </c>
      <c r="H1" s="45">
        <f>+(O1-G1)/G1</f>
        <v>-1.9626641994342678E-2</v>
      </c>
      <c r="I1" s="45"/>
      <c r="O1" s="18">
        <f>+O3+O17+O21+O26+O37+O40+O44</f>
        <v>2.2664441916288916E-12</v>
      </c>
      <c r="P1" s="18">
        <f>+P3+P17+P21+P26+P37+P40+P44</f>
        <v>0</v>
      </c>
      <c r="Q1" s="18">
        <f>+Q3+Q17+Q21+Q26+Q37+Q40+Q44</f>
        <v>2.8651655920431581E-12</v>
      </c>
      <c r="R1" s="1"/>
      <c r="S1" s="18">
        <f>+S3+S17+S21+S26+S37+S40+S44</f>
        <v>5.5334818786619405E-13</v>
      </c>
    </row>
    <row r="2" spans="1:255" s="27" customFormat="1" ht="15" customHeight="1" x14ac:dyDescent="0.25">
      <c r="A2" s="28" t="s">
        <v>0</v>
      </c>
      <c r="B2" s="2" t="s">
        <v>1</v>
      </c>
      <c r="C2" s="3" t="s">
        <v>2</v>
      </c>
      <c r="D2" s="30" t="s">
        <v>3</v>
      </c>
      <c r="E2" s="3" t="s">
        <v>1</v>
      </c>
      <c r="F2" s="3" t="s">
        <v>2</v>
      </c>
      <c r="G2" s="4" t="s">
        <v>4</v>
      </c>
      <c r="H2" s="4" t="s">
        <v>89</v>
      </c>
      <c r="I2" s="4" t="s">
        <v>90</v>
      </c>
      <c r="J2" s="4" t="s">
        <v>91</v>
      </c>
      <c r="L2" s="5" t="s">
        <v>5</v>
      </c>
      <c r="M2" s="5" t="s">
        <v>6</v>
      </c>
      <c r="N2" s="30"/>
      <c r="O2" s="5" t="s">
        <v>7</v>
      </c>
      <c r="P2" s="5" t="s">
        <v>8</v>
      </c>
      <c r="Q2" s="5" t="s">
        <v>9</v>
      </c>
      <c r="R2" s="5"/>
      <c r="S2" s="5" t="s">
        <v>10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</row>
    <row r="3" spans="1:255" s="27" customFormat="1" ht="15.75" x14ac:dyDescent="0.25">
      <c r="A3" s="33" t="s">
        <v>0</v>
      </c>
      <c r="B3" s="32"/>
      <c r="C3" s="32"/>
      <c r="D3" s="33" t="s">
        <v>11</v>
      </c>
      <c r="G3" s="34">
        <f>SUM(G4:G14)</f>
        <v>4.0012437807490642E-13</v>
      </c>
      <c r="H3" s="34">
        <f>SUM(H4:H14)</f>
        <v>0</v>
      </c>
      <c r="I3" s="34">
        <f>SUM(I4:I5)</f>
        <v>0</v>
      </c>
      <c r="J3" s="34">
        <f>SUM(J4:J5)</f>
        <v>9.7699626167013776E-14</v>
      </c>
      <c r="O3" s="34">
        <f>SUM(O4:O14)</f>
        <v>4.636233212699094E-13</v>
      </c>
      <c r="P3" s="34">
        <f>SUM(P4:P6)</f>
        <v>0</v>
      </c>
      <c r="Q3" s="34">
        <f>SUM(Q4:Q14)</f>
        <v>4.636233212699094E-13</v>
      </c>
      <c r="S3" s="34">
        <f>SUM(S4:S14)</f>
        <v>6.3498943195002972E-14</v>
      </c>
    </row>
    <row r="4" spans="1:255" s="26" customFormat="1" ht="15.75" x14ac:dyDescent="0.3">
      <c r="A4" s="23" t="s">
        <v>12</v>
      </c>
      <c r="B4" s="24">
        <v>10</v>
      </c>
      <c r="C4" s="24">
        <v>12</v>
      </c>
      <c r="D4" s="20" t="s">
        <v>13</v>
      </c>
      <c r="E4" s="14">
        <v>1.8873791418627661E-15</v>
      </c>
      <c r="F4" s="14">
        <v>1.8873791418627661E-15</v>
      </c>
      <c r="G4" s="25">
        <f t="shared" ref="G4:G14" si="0">(+B4*E4+C4*F4)</f>
        <v>4.1522341120980855E-14</v>
      </c>
      <c r="H4" s="56"/>
      <c r="I4" s="56"/>
      <c r="J4" s="37">
        <v>4.8849813083506888E-14</v>
      </c>
      <c r="L4" s="7">
        <v>0.17</v>
      </c>
      <c r="M4" s="8">
        <v>6.3500000000000001E-2</v>
      </c>
      <c r="N4" s="8">
        <f t="shared" ref="N4:N14" si="1">1-L4-M4</f>
        <v>0.76649999999999996</v>
      </c>
      <c r="O4" s="1">
        <f t="shared" ref="O4:O14" si="2">+G4/N4</f>
        <v>5.4171351756008945E-14</v>
      </c>
      <c r="P4" s="1">
        <f t="shared" ref="P4:P14" si="3">+H4/O4</f>
        <v>0</v>
      </c>
      <c r="Q4" s="1">
        <f t="shared" ref="Q4:Q14" si="4">+O4-P4</f>
        <v>5.4171351756008945E-14</v>
      </c>
      <c r="R4" s="1">
        <f t="shared" ref="R4:R14" si="5">+(O4-((+O4*L4)+(O4*M4)))-G4</f>
        <v>0</v>
      </c>
      <c r="S4" s="22">
        <f t="shared" ref="S4:S14" si="6">+O4-G4</f>
        <v>1.264901063502809E-14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</row>
    <row r="5" spans="1:255" s="26" customFormat="1" ht="15.75" x14ac:dyDescent="0.3">
      <c r="A5" s="23" t="s">
        <v>79</v>
      </c>
      <c r="B5" s="24">
        <v>9</v>
      </c>
      <c r="C5" s="24">
        <v>10</v>
      </c>
      <c r="D5" s="20" t="s">
        <v>57</v>
      </c>
      <c r="E5" s="14">
        <v>1.8873791418627661E-15</v>
      </c>
      <c r="F5" s="14">
        <v>1.8873791418627661E-15</v>
      </c>
      <c r="G5" s="25">
        <f t="shared" si="0"/>
        <v>3.5860203695392556E-14</v>
      </c>
      <c r="H5" s="56"/>
      <c r="I5" s="56"/>
      <c r="J5" s="37">
        <v>4.8849813083506888E-14</v>
      </c>
      <c r="L5" s="7">
        <v>0.11</v>
      </c>
      <c r="M5" s="8">
        <v>6.3500000000000001E-2</v>
      </c>
      <c r="N5" s="8">
        <f t="shared" si="1"/>
        <v>0.82650000000000001</v>
      </c>
      <c r="O5" s="1">
        <f t="shared" si="2"/>
        <v>4.3388026249718761E-14</v>
      </c>
      <c r="P5" s="1">
        <f t="shared" si="3"/>
        <v>0</v>
      </c>
      <c r="Q5" s="1">
        <f t="shared" si="4"/>
        <v>4.3388026249718761E-14</v>
      </c>
      <c r="R5" s="1">
        <f t="shared" si="5"/>
        <v>0</v>
      </c>
      <c r="S5" s="22">
        <f t="shared" si="6"/>
        <v>7.5278225543262044E-15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5" s="26" customFormat="1" ht="15.75" x14ac:dyDescent="0.3">
      <c r="A6" s="23" t="s">
        <v>79</v>
      </c>
      <c r="B6" s="24">
        <v>9</v>
      </c>
      <c r="C6" s="24">
        <v>10</v>
      </c>
      <c r="D6" s="20" t="s">
        <v>16</v>
      </c>
      <c r="E6" s="14">
        <v>1.8873791418627661E-15</v>
      </c>
      <c r="F6" s="14">
        <v>1.8873791418627661E-15</v>
      </c>
      <c r="G6" s="25">
        <f t="shared" si="0"/>
        <v>3.5860203695392556E-14</v>
      </c>
      <c r="H6" s="48"/>
      <c r="I6" s="48"/>
      <c r="J6" s="37">
        <v>4.8849813083506888E-14</v>
      </c>
      <c r="L6" s="7">
        <v>0.06</v>
      </c>
      <c r="M6" s="8">
        <v>6.3500000000000001E-2</v>
      </c>
      <c r="N6" s="8">
        <f t="shared" si="1"/>
        <v>0.87649999999999995</v>
      </c>
      <c r="O6" s="1">
        <f t="shared" si="2"/>
        <v>4.0912953445969832E-14</v>
      </c>
      <c r="P6" s="1">
        <f t="shared" si="3"/>
        <v>0</v>
      </c>
      <c r="Q6" s="1">
        <f t="shared" si="4"/>
        <v>4.0912953445969832E-14</v>
      </c>
      <c r="R6" s="1">
        <f t="shared" si="5"/>
        <v>0</v>
      </c>
      <c r="S6" s="22">
        <f t="shared" si="6"/>
        <v>5.0527497505772757E-15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</row>
    <row r="7" spans="1:255" s="26" customFormat="1" ht="15.75" x14ac:dyDescent="0.3">
      <c r="A7" s="23" t="s">
        <v>79</v>
      </c>
      <c r="B7" s="24">
        <v>9</v>
      </c>
      <c r="C7" s="24">
        <v>10</v>
      </c>
      <c r="D7" s="36" t="s">
        <v>56</v>
      </c>
      <c r="E7" s="14">
        <v>1.8873791418627661E-15</v>
      </c>
      <c r="F7" s="14">
        <v>1.8873791418627661E-15</v>
      </c>
      <c r="G7" s="25">
        <f t="shared" si="0"/>
        <v>3.5860203695392556E-14</v>
      </c>
      <c r="H7" s="48"/>
      <c r="I7" s="48"/>
      <c r="J7" s="37">
        <v>4.8849813083506888E-14</v>
      </c>
      <c r="L7" s="7">
        <v>0.15</v>
      </c>
      <c r="M7" s="8">
        <v>6.3500000000000001E-2</v>
      </c>
      <c r="N7" s="8">
        <f t="shared" si="1"/>
        <v>0.78649999999999998</v>
      </c>
      <c r="O7" s="1">
        <f t="shared" si="2"/>
        <v>4.5594664584097338E-14</v>
      </c>
      <c r="P7" s="1">
        <f t="shared" si="3"/>
        <v>0</v>
      </c>
      <c r="Q7" s="1">
        <f t="shared" si="4"/>
        <v>4.5594664584097338E-14</v>
      </c>
      <c r="R7" s="1">
        <f t="shared" si="5"/>
        <v>0</v>
      </c>
      <c r="S7" s="22">
        <f t="shared" si="6"/>
        <v>9.7344608887047818E-15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</row>
    <row r="8" spans="1:255" s="26" customFormat="1" ht="15.75" x14ac:dyDescent="0.3">
      <c r="A8" s="23" t="s">
        <v>79</v>
      </c>
      <c r="B8" s="24">
        <v>9</v>
      </c>
      <c r="C8" s="24">
        <v>10</v>
      </c>
      <c r="D8" s="52" t="s">
        <v>53</v>
      </c>
      <c r="E8" s="14">
        <v>1.8873791418627661E-15</v>
      </c>
      <c r="F8" s="14">
        <v>1.8873791418627661E-15</v>
      </c>
      <c r="G8" s="25">
        <f t="shared" si="0"/>
        <v>3.5860203695392556E-14</v>
      </c>
      <c r="H8" s="48"/>
      <c r="I8" s="48"/>
      <c r="J8" s="37">
        <v>4.8849813083506888E-14</v>
      </c>
      <c r="L8" s="7">
        <v>0.04</v>
      </c>
      <c r="M8" s="8">
        <v>6.3500000000000001E-2</v>
      </c>
      <c r="N8" s="8">
        <f t="shared" si="1"/>
        <v>0.89649999999999996</v>
      </c>
      <c r="O8" s="1">
        <f t="shared" si="2"/>
        <v>4.0000227211815455E-14</v>
      </c>
      <c r="P8" s="1">
        <f t="shared" si="3"/>
        <v>0</v>
      </c>
      <c r="Q8" s="1">
        <f t="shared" si="4"/>
        <v>4.0000227211815455E-14</v>
      </c>
      <c r="R8" s="1">
        <f t="shared" si="5"/>
        <v>0</v>
      </c>
      <c r="S8" s="22">
        <f t="shared" si="6"/>
        <v>4.1400235164228983E-15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</row>
    <row r="9" spans="1:255" s="26" customFormat="1" ht="15.75" x14ac:dyDescent="0.3">
      <c r="A9" s="23" t="s">
        <v>79</v>
      </c>
      <c r="B9" s="24">
        <v>9</v>
      </c>
      <c r="C9" s="24">
        <v>10</v>
      </c>
      <c r="D9" s="52" t="s">
        <v>60</v>
      </c>
      <c r="E9" s="14">
        <v>1.8873791418627661E-15</v>
      </c>
      <c r="F9" s="14">
        <v>1.8873791418627661E-15</v>
      </c>
      <c r="G9" s="25">
        <f t="shared" si="0"/>
        <v>3.5860203695392556E-14</v>
      </c>
      <c r="H9" s="48"/>
      <c r="I9" s="48"/>
      <c r="J9" s="37">
        <v>4.8849813083506888E-14</v>
      </c>
      <c r="L9" s="7">
        <v>0.02</v>
      </c>
      <c r="M9" s="8">
        <v>6.3500000000000001E-2</v>
      </c>
      <c r="N9" s="8">
        <f t="shared" si="1"/>
        <v>0.91649999999999998</v>
      </c>
      <c r="O9" s="1">
        <f t="shared" si="2"/>
        <v>3.9127336274296295E-14</v>
      </c>
      <c r="P9" s="1">
        <f t="shared" si="3"/>
        <v>0</v>
      </c>
      <c r="Q9" s="1">
        <f t="shared" si="4"/>
        <v>3.9127336274296295E-14</v>
      </c>
      <c r="R9" s="1">
        <f t="shared" si="5"/>
        <v>0</v>
      </c>
      <c r="S9" s="22">
        <f t="shared" si="6"/>
        <v>3.2671325789037392E-15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</row>
    <row r="10" spans="1:255" s="26" customFormat="1" ht="15.75" x14ac:dyDescent="0.3">
      <c r="A10" s="23" t="s">
        <v>79</v>
      </c>
      <c r="B10" s="24">
        <v>9</v>
      </c>
      <c r="C10" s="24">
        <v>10</v>
      </c>
      <c r="D10" s="20" t="s">
        <v>15</v>
      </c>
      <c r="E10" s="14">
        <v>1.8873791418627661E-15</v>
      </c>
      <c r="F10" s="14">
        <v>1.8873791418627661E-15</v>
      </c>
      <c r="G10" s="25">
        <f t="shared" si="0"/>
        <v>3.5860203695392556E-14</v>
      </c>
      <c r="H10" s="48"/>
      <c r="I10" s="48"/>
      <c r="J10" s="37">
        <v>4.8849813083506888E-14</v>
      </c>
      <c r="L10" s="7">
        <v>0.12</v>
      </c>
      <c r="M10" s="8">
        <v>6.3500000000000001E-2</v>
      </c>
      <c r="N10" s="8">
        <f t="shared" si="1"/>
        <v>0.8165</v>
      </c>
      <c r="O10" s="1">
        <f t="shared" si="2"/>
        <v>4.3919416650817582E-14</v>
      </c>
      <c r="P10" s="1">
        <f t="shared" si="3"/>
        <v>0</v>
      </c>
      <c r="Q10" s="1">
        <f t="shared" si="4"/>
        <v>4.3919416650817582E-14</v>
      </c>
      <c r="R10" s="1">
        <f t="shared" si="5"/>
        <v>0</v>
      </c>
      <c r="S10" s="22">
        <f t="shared" si="6"/>
        <v>8.0592129554250254E-15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</row>
    <row r="11" spans="1:255" s="26" customFormat="1" ht="15.75" x14ac:dyDescent="0.3">
      <c r="A11" s="23" t="s">
        <v>78</v>
      </c>
      <c r="B11" s="24">
        <v>9</v>
      </c>
      <c r="C11" s="24">
        <v>10</v>
      </c>
      <c r="D11" s="52" t="s">
        <v>61</v>
      </c>
      <c r="E11" s="14">
        <v>1.8873791418627661E-15</v>
      </c>
      <c r="F11" s="14">
        <v>1.8873791418627661E-15</v>
      </c>
      <c r="G11" s="25">
        <f t="shared" si="0"/>
        <v>3.5860203695392556E-14</v>
      </c>
      <c r="H11" s="48"/>
      <c r="I11" s="48"/>
      <c r="J11" s="37">
        <v>4.8849813083506888E-14</v>
      </c>
      <c r="L11" s="7">
        <v>0.02</v>
      </c>
      <c r="M11" s="8">
        <v>6.3500000000000001E-2</v>
      </c>
      <c r="N11" s="8">
        <f t="shared" si="1"/>
        <v>0.91649999999999998</v>
      </c>
      <c r="O11" s="1">
        <f t="shared" si="2"/>
        <v>3.9127336274296295E-14</v>
      </c>
      <c r="P11" s="1">
        <f t="shared" si="3"/>
        <v>0</v>
      </c>
      <c r="Q11" s="1">
        <f t="shared" si="4"/>
        <v>3.9127336274296295E-14</v>
      </c>
      <c r="R11" s="1">
        <f t="shared" si="5"/>
        <v>0</v>
      </c>
      <c r="S11" s="22">
        <f t="shared" si="6"/>
        <v>3.2671325789037392E-15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</row>
    <row r="12" spans="1:255" s="26" customFormat="1" ht="15.75" customHeight="1" x14ac:dyDescent="0.3">
      <c r="A12" s="23" t="s">
        <v>78</v>
      </c>
      <c r="B12" s="24">
        <v>9</v>
      </c>
      <c r="C12" s="24">
        <v>10</v>
      </c>
      <c r="D12" s="52" t="s">
        <v>67</v>
      </c>
      <c r="E12" s="14">
        <v>1.8873791418627661E-15</v>
      </c>
      <c r="F12" s="14">
        <v>1.8873791418627661E-15</v>
      </c>
      <c r="G12" s="25">
        <f t="shared" si="0"/>
        <v>3.5860203695392556E-14</v>
      </c>
      <c r="H12" s="48"/>
      <c r="I12" s="48"/>
      <c r="J12" s="37">
        <v>4.8849813083506888E-14</v>
      </c>
      <c r="L12" s="7">
        <v>0.02</v>
      </c>
      <c r="M12" s="8">
        <v>6.3500000000000001E-2</v>
      </c>
      <c r="N12" s="8">
        <f t="shared" si="1"/>
        <v>0.91649999999999998</v>
      </c>
      <c r="O12" s="1">
        <f t="shared" si="2"/>
        <v>3.9127336274296295E-14</v>
      </c>
      <c r="P12" s="1">
        <f t="shared" si="3"/>
        <v>0</v>
      </c>
      <c r="Q12" s="1">
        <f t="shared" si="4"/>
        <v>3.9127336274296295E-14</v>
      </c>
      <c r="R12" s="1">
        <f t="shared" si="5"/>
        <v>0</v>
      </c>
      <c r="S12" s="22">
        <f t="shared" si="6"/>
        <v>3.2671325789037392E-15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</row>
    <row r="13" spans="1:255" s="26" customFormat="1" ht="15.75" customHeight="1" x14ac:dyDescent="0.3">
      <c r="A13" s="23" t="s">
        <v>78</v>
      </c>
      <c r="B13" s="24">
        <v>9</v>
      </c>
      <c r="C13" s="24">
        <v>10</v>
      </c>
      <c r="D13" s="52" t="s">
        <v>68</v>
      </c>
      <c r="E13" s="14">
        <v>1.8873791418627661E-15</v>
      </c>
      <c r="F13" s="14">
        <v>1.8873791418627661E-15</v>
      </c>
      <c r="G13" s="25">
        <f t="shared" si="0"/>
        <v>3.5860203695392556E-14</v>
      </c>
      <c r="H13" s="48"/>
      <c r="I13" s="48"/>
      <c r="J13" s="37">
        <v>4.8849813083506888E-14</v>
      </c>
      <c r="L13" s="7">
        <v>0.02</v>
      </c>
      <c r="M13" s="8">
        <v>6.3500000000000001E-2</v>
      </c>
      <c r="N13" s="8">
        <f t="shared" si="1"/>
        <v>0.91649999999999998</v>
      </c>
      <c r="O13" s="1">
        <f t="shared" si="2"/>
        <v>3.9127336274296295E-14</v>
      </c>
      <c r="P13" s="1">
        <f t="shared" si="3"/>
        <v>0</v>
      </c>
      <c r="Q13" s="1">
        <f t="shared" si="4"/>
        <v>3.9127336274296295E-14</v>
      </c>
      <c r="R13" s="1">
        <f t="shared" si="5"/>
        <v>0</v>
      </c>
      <c r="S13" s="22">
        <f t="shared" si="6"/>
        <v>3.2671325789037392E-15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</row>
    <row r="14" spans="1:255" s="26" customFormat="1" ht="15.75" customHeight="1" x14ac:dyDescent="0.3">
      <c r="A14" s="23" t="s">
        <v>78</v>
      </c>
      <c r="B14" s="24">
        <v>9</v>
      </c>
      <c r="C14" s="24">
        <v>10</v>
      </c>
      <c r="D14" s="52" t="s">
        <v>72</v>
      </c>
      <c r="E14" s="14">
        <v>1.8873791418627661E-15</v>
      </c>
      <c r="F14" s="14">
        <v>1.8873791418627661E-15</v>
      </c>
      <c r="G14" s="25">
        <f t="shared" si="0"/>
        <v>3.5860203695392556E-14</v>
      </c>
      <c r="H14" s="48"/>
      <c r="I14" s="48"/>
      <c r="J14" s="37">
        <v>4.8849813083506888E-14</v>
      </c>
      <c r="L14" s="7">
        <v>0.02</v>
      </c>
      <c r="M14" s="8">
        <v>6.3500000000000001E-2</v>
      </c>
      <c r="N14" s="8">
        <f t="shared" si="1"/>
        <v>0.91649999999999998</v>
      </c>
      <c r="O14" s="1">
        <f t="shared" si="2"/>
        <v>3.9127336274296295E-14</v>
      </c>
      <c r="P14" s="1">
        <f t="shared" si="3"/>
        <v>0</v>
      </c>
      <c r="Q14" s="1">
        <f t="shared" si="4"/>
        <v>3.9127336274296295E-14</v>
      </c>
      <c r="R14" s="1">
        <f t="shared" si="5"/>
        <v>0</v>
      </c>
      <c r="S14" s="22">
        <f t="shared" si="6"/>
        <v>3.2671325789037392E-15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</row>
    <row r="15" spans="1:255" s="26" customFormat="1" ht="15.75" x14ac:dyDescent="0.3">
      <c r="A15" s="23"/>
      <c r="B15" s="24"/>
      <c r="C15" s="24"/>
      <c r="D15" s="52"/>
      <c r="E15" s="55"/>
      <c r="F15" s="55"/>
      <c r="G15" s="25"/>
      <c r="H15" s="48"/>
      <c r="I15" s="48"/>
      <c r="L15" s="7"/>
      <c r="M15" s="8"/>
      <c r="N15" s="8"/>
      <c r="O15" s="1"/>
      <c r="P15" s="1"/>
      <c r="Q15" s="1"/>
      <c r="R15" s="1"/>
      <c r="S15" s="2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</row>
    <row r="16" spans="1:255" s="27" customFormat="1" ht="15.75" x14ac:dyDescent="0.25">
      <c r="A16" s="28"/>
      <c r="B16" s="29"/>
      <c r="C16" s="29"/>
      <c r="D16" s="30"/>
      <c r="E16" s="10"/>
      <c r="F16" s="10"/>
      <c r="G16" s="18"/>
      <c r="H16" s="47"/>
      <c r="I16" s="47"/>
      <c r="L16" s="7"/>
      <c r="M16" s="8"/>
      <c r="N16" s="8"/>
      <c r="O16" s="5" t="s">
        <v>7</v>
      </c>
      <c r="P16" s="5" t="s">
        <v>8</v>
      </c>
      <c r="Q16" s="5" t="s">
        <v>9</v>
      </c>
      <c r="R16" s="5"/>
      <c r="S16" s="5" t="s">
        <v>10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</row>
    <row r="17" spans="1:255" s="27" customFormat="1" ht="15.75" x14ac:dyDescent="0.25">
      <c r="A17" s="33" t="s">
        <v>0</v>
      </c>
      <c r="B17" s="32"/>
      <c r="C17" s="32"/>
      <c r="D17" s="33" t="s">
        <v>81</v>
      </c>
      <c r="G17" s="34">
        <f>SUM(G18:G19)</f>
        <v>7.8048678631148505E-14</v>
      </c>
      <c r="H17" s="34">
        <f>SUM(H18:H19)</f>
        <v>0</v>
      </c>
      <c r="I17" s="34">
        <f>SUM(I18:I19)</f>
        <v>0</v>
      </c>
      <c r="J17" s="34">
        <f>SUM(J18:J19)</f>
        <v>9.7699626167013776E-14</v>
      </c>
      <c r="O17" s="34">
        <f>SUM(O18:O19)</f>
        <v>9.3407647213746018E-14</v>
      </c>
      <c r="P17" s="34">
        <f>SUM(P18:P19)</f>
        <v>0</v>
      </c>
      <c r="Q17" s="34">
        <f>SUM(Q18:Q19)</f>
        <v>9.3407647213746018E-14</v>
      </c>
      <c r="R17" s="34">
        <f>SUM(R18:R19)</f>
        <v>0</v>
      </c>
      <c r="S17" s="34">
        <f>SUM(S18:S19)</f>
        <v>1.5358968582597514E-14</v>
      </c>
    </row>
    <row r="18" spans="1:255" s="26" customFormat="1" ht="15.75" x14ac:dyDescent="0.25">
      <c r="A18" s="23" t="s">
        <v>78</v>
      </c>
      <c r="B18" s="24">
        <v>9</v>
      </c>
      <c r="C18" s="24">
        <v>10</v>
      </c>
      <c r="D18" s="20" t="s">
        <v>17</v>
      </c>
      <c r="E18" s="57">
        <v>2.2204460492503131E-15</v>
      </c>
      <c r="F18" s="57">
        <v>2.2204460492503131E-15</v>
      </c>
      <c r="G18" s="25">
        <f>+(B18*E18+C18*F18)</f>
        <v>4.2188474935755949E-14</v>
      </c>
      <c r="H18" s="48"/>
      <c r="I18" s="48"/>
      <c r="J18" s="37">
        <v>4.8849813083506888E-14</v>
      </c>
      <c r="L18" s="7">
        <v>0.11</v>
      </c>
      <c r="M18" s="8">
        <v>6.3500000000000001E-2</v>
      </c>
      <c r="N18" s="8">
        <f>1-L18-M18</f>
        <v>0.82650000000000001</v>
      </c>
      <c r="O18" s="1">
        <f>+G18/N18</f>
        <v>5.1044736764375012E-14</v>
      </c>
      <c r="P18" s="1">
        <f>+H18/O18</f>
        <v>0</v>
      </c>
      <c r="Q18" s="1">
        <f>+O18-P18</f>
        <v>5.1044736764375012E-14</v>
      </c>
      <c r="R18" s="1">
        <f>+(O18-((+O18*L18)+(O18*M18)))-G18</f>
        <v>0</v>
      </c>
      <c r="S18" s="22">
        <f>+O18-G18</f>
        <v>8.8562618286190632E-15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</row>
    <row r="19" spans="1:255" s="26" customFormat="1" ht="15.75" x14ac:dyDescent="0.3">
      <c r="A19" s="23" t="s">
        <v>78</v>
      </c>
      <c r="B19" s="24">
        <v>9</v>
      </c>
      <c r="C19" s="24">
        <v>10</v>
      </c>
      <c r="D19" s="20" t="s">
        <v>18</v>
      </c>
      <c r="E19" s="58">
        <v>1.8873791418627661E-15</v>
      </c>
      <c r="F19" s="58">
        <v>1.8873791418627661E-15</v>
      </c>
      <c r="G19" s="25">
        <f>+(B19*E19+C19*F19)</f>
        <v>3.5860203695392556E-14</v>
      </c>
      <c r="H19" s="48"/>
      <c r="I19" s="48"/>
      <c r="J19" s="37">
        <v>4.8849813083506888E-14</v>
      </c>
      <c r="L19" s="7">
        <v>0.09</v>
      </c>
      <c r="M19" s="8">
        <v>6.3500000000000001E-2</v>
      </c>
      <c r="N19" s="8">
        <f>1-L19-M19</f>
        <v>0.84650000000000003</v>
      </c>
      <c r="O19" s="1">
        <f>+G19/N19</f>
        <v>4.2362910449371007E-14</v>
      </c>
      <c r="P19" s="1">
        <f>+H19/O19</f>
        <v>0</v>
      </c>
      <c r="Q19" s="1">
        <f>+O19-P19</f>
        <v>4.2362910449371007E-14</v>
      </c>
      <c r="R19" s="1">
        <f>+(O19-((+O19*L19)+(O19*M19)))-G19</f>
        <v>0</v>
      </c>
      <c r="S19" s="22">
        <f>+O19-G19</f>
        <v>6.5027067539784505E-15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</row>
    <row r="20" spans="1:255" s="27" customFormat="1" ht="15.75" x14ac:dyDescent="0.25">
      <c r="A20" s="28"/>
      <c r="B20" s="29"/>
      <c r="C20" s="29"/>
      <c r="D20" s="30"/>
      <c r="E20" s="10"/>
      <c r="F20" s="10"/>
      <c r="G20" s="18"/>
      <c r="H20" s="47"/>
      <c r="I20" s="47"/>
      <c r="J20" s="38"/>
      <c r="L20" s="7"/>
      <c r="M20" s="8"/>
      <c r="N20" s="8"/>
      <c r="O20" s="5" t="s">
        <v>7</v>
      </c>
      <c r="P20" s="5" t="s">
        <v>8</v>
      </c>
      <c r="Q20" s="5" t="s">
        <v>9</v>
      </c>
      <c r="R20" s="5"/>
      <c r="S20" s="5" t="s">
        <v>10</v>
      </c>
    </row>
    <row r="21" spans="1:255" s="27" customFormat="1" ht="15.75" x14ac:dyDescent="0.25">
      <c r="A21" s="33" t="s">
        <v>0</v>
      </c>
      <c r="B21" s="32"/>
      <c r="C21" s="32"/>
      <c r="D21" s="33" t="s">
        <v>19</v>
      </c>
      <c r="G21" s="34">
        <f>SUM(G22:G23)</f>
        <v>9.1038288019262836E-14</v>
      </c>
      <c r="H21" s="34">
        <f>SUM(H22:H23)</f>
        <v>0</v>
      </c>
      <c r="I21" s="34">
        <f>SUM(I22:I23)</f>
        <v>0</v>
      </c>
      <c r="J21" s="34">
        <f>SUM(J22:J23)</f>
        <v>9.7699626167013776E-14</v>
      </c>
      <c r="O21" s="34">
        <f>SUM(O22:O23)</f>
        <v>1.1587758081760267E-13</v>
      </c>
      <c r="P21" s="34">
        <f>SUM(P22:P23)</f>
        <v>0</v>
      </c>
      <c r="Q21" s="34">
        <f>SUM(Q22:Q23)</f>
        <v>1.1587758081760267E-13</v>
      </c>
      <c r="R21" s="34">
        <f>SUM(R22:R23)</f>
        <v>0</v>
      </c>
      <c r="S21" s="34">
        <f>SUM(S22:S23)</f>
        <v>2.4839292798339819E-14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</row>
    <row r="22" spans="1:255" s="26" customFormat="1" ht="15.75" x14ac:dyDescent="0.25">
      <c r="A22" s="59" t="s">
        <v>20</v>
      </c>
      <c r="B22" s="60">
        <v>10</v>
      </c>
      <c r="C22" s="60">
        <v>12</v>
      </c>
      <c r="D22" s="20" t="s">
        <v>21</v>
      </c>
      <c r="E22" s="57">
        <v>2.2204460492503131E-15</v>
      </c>
      <c r="F22" s="57">
        <v>2.2204460492503131E-15</v>
      </c>
      <c r="G22" s="25">
        <f>+(B22*E22+C22*F22)</f>
        <v>4.8849813083506888E-14</v>
      </c>
      <c r="H22" s="61"/>
      <c r="I22" s="61"/>
      <c r="J22" s="37">
        <v>4.8849813083506888E-14</v>
      </c>
      <c r="L22" s="62">
        <v>0.16</v>
      </c>
      <c r="M22" s="63">
        <v>6.3500000000000001E-2</v>
      </c>
      <c r="N22" s="63">
        <f>1-L22-M22</f>
        <v>0.77649999999999997</v>
      </c>
      <c r="O22" s="35">
        <f>+G22/N22</f>
        <v>6.2910255097883949E-14</v>
      </c>
      <c r="P22" s="1">
        <f t="shared" ref="P22:P23" si="7">+H22/O22</f>
        <v>0</v>
      </c>
      <c r="Q22" s="35">
        <f>+O22-P22</f>
        <v>6.2910255097883949E-14</v>
      </c>
      <c r="R22" s="35">
        <f>+(O22-((+O22*L22)+(O22*M22)))-G22</f>
        <v>0</v>
      </c>
      <c r="S22" s="22">
        <f>+O22-G22</f>
        <v>1.4060442014377061E-14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</row>
    <row r="23" spans="1:255" s="26" customFormat="1" ht="15.75" x14ac:dyDescent="0.25">
      <c r="A23" s="23" t="s">
        <v>79</v>
      </c>
      <c r="B23" s="24">
        <v>9</v>
      </c>
      <c r="C23" s="24">
        <v>10</v>
      </c>
      <c r="D23" s="20" t="s">
        <v>22</v>
      </c>
      <c r="E23" s="57">
        <v>2.2204460492503131E-15</v>
      </c>
      <c r="F23" s="57">
        <v>2.2204460492503131E-15</v>
      </c>
      <c r="G23" s="25">
        <f t="shared" ref="G23:G24" si="8">+(B23*E23+C23*F23)</f>
        <v>4.2188474935755949E-14</v>
      </c>
      <c r="H23" s="48"/>
      <c r="I23" s="48"/>
      <c r="J23" s="37">
        <v>4.8849813083506888E-14</v>
      </c>
      <c r="L23" s="7">
        <v>0.14000000000000001</v>
      </c>
      <c r="M23" s="8">
        <v>6.3500000000000001E-2</v>
      </c>
      <c r="N23" s="8">
        <f>1-L23-M23</f>
        <v>0.79649999999999999</v>
      </c>
      <c r="O23" s="1">
        <f>+G23/N23</f>
        <v>5.2967325719718707E-14</v>
      </c>
      <c r="P23" s="1">
        <f t="shared" si="7"/>
        <v>0</v>
      </c>
      <c r="Q23" s="1">
        <f>+O23-P23</f>
        <v>5.2967325719718707E-14</v>
      </c>
      <c r="R23" s="1">
        <f>+(O23-((+O23*L23)+(O23*M23)))-G23</f>
        <v>0</v>
      </c>
      <c r="S23" s="22">
        <f>+O23-G23</f>
        <v>1.0778850783962759E-14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</row>
    <row r="24" spans="1:255" s="26" customFormat="1" ht="15.75" x14ac:dyDescent="0.25">
      <c r="A24" s="23" t="s">
        <v>85</v>
      </c>
      <c r="B24" s="24">
        <v>9</v>
      </c>
      <c r="C24" s="24">
        <v>10</v>
      </c>
      <c r="D24" s="20" t="s">
        <v>88</v>
      </c>
      <c r="E24" s="57">
        <v>2.2204460492503131E-15</v>
      </c>
      <c r="F24" s="57">
        <v>2.2204460492503131E-15</v>
      </c>
      <c r="G24" s="25">
        <f t="shared" si="8"/>
        <v>4.2188474935755949E-14</v>
      </c>
      <c r="H24" s="54"/>
      <c r="I24" s="54"/>
      <c r="J24" s="37">
        <v>4.8849813083506888E-14</v>
      </c>
      <c r="L24" s="7">
        <v>0.02</v>
      </c>
      <c r="M24" s="8">
        <v>6.3500000000000001E-2</v>
      </c>
      <c r="N24" s="8">
        <f t="shared" ref="N24" si="9">1-L24-M24</f>
        <v>0.91649999999999998</v>
      </c>
      <c r="O24" s="1">
        <f>+G24/N24</f>
        <v>4.603216032270153E-14</v>
      </c>
      <c r="P24" s="1">
        <f>+H24/O24</f>
        <v>0</v>
      </c>
      <c r="Q24" s="1">
        <f>+O24-P24</f>
        <v>4.603216032270153E-14</v>
      </c>
      <c r="R24" s="1">
        <f>+(O24-((+O24*L24)+(O24*M24)))-G24</f>
        <v>0</v>
      </c>
      <c r="S24" s="22">
        <f>+O24-G24</f>
        <v>3.843685386945581E-15</v>
      </c>
    </row>
    <row r="25" spans="1:255" s="27" customFormat="1" ht="15.75" x14ac:dyDescent="0.25">
      <c r="A25" s="28"/>
      <c r="B25" s="29"/>
      <c r="C25" s="29"/>
      <c r="D25" s="30"/>
      <c r="E25" s="10"/>
      <c r="F25" s="10"/>
      <c r="G25" s="18"/>
      <c r="H25" s="47"/>
      <c r="I25" s="47"/>
      <c r="J25" s="38"/>
      <c r="L25" s="7"/>
      <c r="M25" s="8"/>
      <c r="N25" s="8"/>
      <c r="O25" s="5" t="s">
        <v>7</v>
      </c>
      <c r="P25" s="5" t="s">
        <v>8</v>
      </c>
      <c r="Q25" s="5" t="s">
        <v>9</v>
      </c>
      <c r="R25" s="5"/>
      <c r="S25" s="5" t="s">
        <v>10</v>
      </c>
    </row>
    <row r="26" spans="1:255" s="27" customFormat="1" ht="13.15" customHeight="1" x14ac:dyDescent="0.25">
      <c r="A26" s="33" t="s">
        <v>0</v>
      </c>
      <c r="B26" s="32"/>
      <c r="C26" s="32"/>
      <c r="D26" s="33" t="s">
        <v>24</v>
      </c>
      <c r="G26" s="34">
        <f>SUM(G27:G34)</f>
        <v>3.907985046680551E-13</v>
      </c>
      <c r="H26" s="34">
        <f>SUM(H27:H34)</f>
        <v>0</v>
      </c>
      <c r="I26" s="34">
        <f>SUM(I27:I34)</f>
        <v>0</v>
      </c>
      <c r="J26" s="42">
        <f>SUM(J27:J34)</f>
        <v>3.8413716652030416E-13</v>
      </c>
      <c r="O26" s="34">
        <f>SUM(O27:O35)</f>
        <v>4.9693981384949811E-13</v>
      </c>
      <c r="P26" s="34">
        <f>SUM(P27:P35)</f>
        <v>0</v>
      </c>
      <c r="Q26" s="34">
        <f>SUM(Q27:Q35)</f>
        <v>4.9693981384949811E-13</v>
      </c>
      <c r="R26" s="34">
        <f>SUM(R27:R35)</f>
        <v>0</v>
      </c>
      <c r="S26" s="34">
        <f>SUM(S27:S35)</f>
        <v>1.0614130918144297E-13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</row>
    <row r="27" spans="1:255" s="26" customFormat="1" ht="15.75" x14ac:dyDescent="0.25">
      <c r="A27" s="23" t="s">
        <v>73</v>
      </c>
      <c r="B27" s="24">
        <v>10</v>
      </c>
      <c r="C27" s="24">
        <v>12</v>
      </c>
      <c r="D27" s="20" t="s">
        <v>63</v>
      </c>
      <c r="E27" s="57">
        <v>2.2204460492503131E-15</v>
      </c>
      <c r="F27" s="57">
        <v>2.2204460492503131E-15</v>
      </c>
      <c r="G27" s="25">
        <f>+(B27*E27+C27*F27)</f>
        <v>4.8849813083506888E-14</v>
      </c>
      <c r="H27" s="48"/>
      <c r="I27" s="48"/>
      <c r="J27" s="37">
        <v>4.8849813083506888E-14</v>
      </c>
      <c r="L27" s="7">
        <v>0.18</v>
      </c>
      <c r="M27" s="8">
        <v>6.3500000000000001E-2</v>
      </c>
      <c r="N27" s="8">
        <f t="shared" ref="N27:N34" si="10">1-L27-M27</f>
        <v>0.75650000000000006</v>
      </c>
      <c r="O27" s="1">
        <f t="shared" ref="O27:O30" si="11">+G27/N27</f>
        <v>6.4573447565772481E-14</v>
      </c>
      <c r="P27" s="1">
        <f t="shared" ref="P27:P34" si="12">+H27/O27</f>
        <v>0</v>
      </c>
      <c r="Q27" s="1">
        <f t="shared" ref="Q27:Q34" si="13">+O27-P27</f>
        <v>6.4573447565772481E-14</v>
      </c>
      <c r="R27" s="1">
        <f>+(O27-((+O27*L27)+(O27*M27)))-G27</f>
        <v>0</v>
      </c>
      <c r="S27" s="22">
        <f t="shared" ref="S27:S34" si="14">+O27-G27</f>
        <v>1.5723634482265593E-14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</row>
    <row r="28" spans="1:255" s="26" customFormat="1" ht="15.75" x14ac:dyDescent="0.25">
      <c r="A28" s="23" t="s">
        <v>20</v>
      </c>
      <c r="B28" s="24">
        <v>10</v>
      </c>
      <c r="C28" s="24">
        <v>12</v>
      </c>
      <c r="D28" s="20" t="s">
        <v>25</v>
      </c>
      <c r="E28" s="57">
        <v>2.2204460492503131E-15</v>
      </c>
      <c r="F28" s="57">
        <v>2.2204460492503131E-15</v>
      </c>
      <c r="G28" s="25">
        <f t="shared" ref="G28:G34" si="15">+(B28*E28+C28*F28)</f>
        <v>4.8849813083506888E-14</v>
      </c>
      <c r="H28" s="48"/>
      <c r="I28" s="48"/>
      <c r="J28" s="37">
        <v>4.2188474935755949E-14</v>
      </c>
      <c r="L28" s="7">
        <v>0.13</v>
      </c>
      <c r="M28" s="8">
        <v>6.3500000000000001E-2</v>
      </c>
      <c r="N28" s="8">
        <f t="shared" si="10"/>
        <v>0.80649999999999999</v>
      </c>
      <c r="O28" s="1">
        <f t="shared" si="11"/>
        <v>6.0570134015507606E-14</v>
      </c>
      <c r="P28" s="1">
        <f t="shared" si="12"/>
        <v>0</v>
      </c>
      <c r="Q28" s="1">
        <f t="shared" si="13"/>
        <v>6.0570134015507606E-14</v>
      </c>
      <c r="R28" s="1">
        <f>+(O28-((+O28*L28)+(O28*M28)))-G28</f>
        <v>0</v>
      </c>
      <c r="S28" s="22">
        <f t="shared" si="14"/>
        <v>1.1720320932000719E-14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</row>
    <row r="29" spans="1:255" s="26" customFormat="1" ht="15.75" x14ac:dyDescent="0.25">
      <c r="A29" s="23" t="s">
        <v>20</v>
      </c>
      <c r="B29" s="24">
        <v>12</v>
      </c>
      <c r="C29" s="24">
        <v>13</v>
      </c>
      <c r="D29" s="20" t="s">
        <v>26</v>
      </c>
      <c r="E29" s="57">
        <v>2.2204460492503131E-15</v>
      </c>
      <c r="F29" s="57">
        <v>2.2204460492503131E-15</v>
      </c>
      <c r="G29" s="25">
        <f t="shared" si="15"/>
        <v>5.5511151231257827E-14</v>
      </c>
      <c r="H29" s="64"/>
      <c r="I29" s="64"/>
      <c r="J29" s="37">
        <v>4.8849813083506888E-14</v>
      </c>
      <c r="L29" s="7">
        <v>0.14000000000000001</v>
      </c>
      <c r="M29" s="8">
        <v>6.3500000000000001E-2</v>
      </c>
      <c r="N29" s="8">
        <f t="shared" si="10"/>
        <v>0.79649999999999999</v>
      </c>
      <c r="O29" s="1">
        <f t="shared" si="11"/>
        <v>6.9693849631208819E-14</v>
      </c>
      <c r="P29" s="1">
        <f t="shared" si="12"/>
        <v>0</v>
      </c>
      <c r="Q29" s="1">
        <f t="shared" si="13"/>
        <v>6.9693849631208819E-14</v>
      </c>
      <c r="R29" s="1">
        <v>0</v>
      </c>
      <c r="S29" s="22">
        <f t="shared" si="14"/>
        <v>1.4182698399950992E-14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</row>
    <row r="30" spans="1:255" s="26" customFormat="1" ht="15.75" x14ac:dyDescent="0.25">
      <c r="A30" s="23" t="s">
        <v>23</v>
      </c>
      <c r="B30" s="24">
        <v>10</v>
      </c>
      <c r="C30" s="24">
        <v>12</v>
      </c>
      <c r="D30" s="20" t="s">
        <v>27</v>
      </c>
      <c r="E30" s="57">
        <v>2.2204460492503131E-15</v>
      </c>
      <c r="F30" s="57">
        <v>2.2204460492503131E-15</v>
      </c>
      <c r="G30" s="25">
        <f t="shared" si="15"/>
        <v>4.8849813083506888E-14</v>
      </c>
      <c r="H30" s="48"/>
      <c r="I30" s="48"/>
      <c r="J30" s="37">
        <v>4.8849813083506888E-14</v>
      </c>
      <c r="L30" s="7">
        <v>0.15</v>
      </c>
      <c r="M30" s="8">
        <v>6.3500000000000001E-2</v>
      </c>
      <c r="N30" s="8">
        <f t="shared" si="10"/>
        <v>0.78649999999999998</v>
      </c>
      <c r="O30" s="1">
        <f t="shared" si="11"/>
        <v>6.2110379000008761E-14</v>
      </c>
      <c r="P30" s="1">
        <f t="shared" si="12"/>
        <v>0</v>
      </c>
      <c r="Q30" s="1">
        <f t="shared" si="13"/>
        <v>6.2110379000008761E-14</v>
      </c>
      <c r="R30" s="1">
        <f>+(O30-((+O30*L30)+(O30*M30)))-G30</f>
        <v>0</v>
      </c>
      <c r="S30" s="22">
        <f t="shared" si="14"/>
        <v>1.3260565916501873E-14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</row>
    <row r="31" spans="1:255" s="26" customFormat="1" ht="15.75" x14ac:dyDescent="0.25">
      <c r="A31" s="23" t="s">
        <v>23</v>
      </c>
      <c r="B31" s="24">
        <v>10</v>
      </c>
      <c r="C31" s="24">
        <v>12</v>
      </c>
      <c r="D31" s="20" t="s">
        <v>28</v>
      </c>
      <c r="E31" s="57">
        <v>2.2204460492503131E-15</v>
      </c>
      <c r="F31" s="57">
        <v>2.2204460492503131E-15</v>
      </c>
      <c r="G31" s="25">
        <f t="shared" si="15"/>
        <v>4.8849813083506888E-14</v>
      </c>
      <c r="H31" s="48"/>
      <c r="I31" s="48"/>
      <c r="J31" s="37">
        <v>4.8849813083506888E-14</v>
      </c>
      <c r="L31" s="7">
        <v>0.15</v>
      </c>
      <c r="M31" s="8">
        <v>6.3500000000000001E-2</v>
      </c>
      <c r="N31" s="8">
        <f t="shared" si="10"/>
        <v>0.78649999999999998</v>
      </c>
      <c r="O31" s="1">
        <f>+G31/N31</f>
        <v>6.2110379000008761E-14</v>
      </c>
      <c r="P31" s="1">
        <f t="shared" si="12"/>
        <v>0</v>
      </c>
      <c r="Q31" s="1">
        <f t="shared" si="13"/>
        <v>6.2110379000008761E-14</v>
      </c>
      <c r="R31" s="1">
        <f>+(O31-((+O31*L31)+(O31*M31)))-G31</f>
        <v>0</v>
      </c>
      <c r="S31" s="22">
        <f t="shared" si="14"/>
        <v>1.3260565916501873E-14</v>
      </c>
      <c r="T31" s="11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</row>
    <row r="32" spans="1:255" s="26" customFormat="1" ht="15.75" x14ac:dyDescent="0.25">
      <c r="A32" s="23" t="s">
        <v>23</v>
      </c>
      <c r="B32" s="24">
        <v>10</v>
      </c>
      <c r="C32" s="24">
        <v>12</v>
      </c>
      <c r="D32" s="20" t="s">
        <v>29</v>
      </c>
      <c r="E32" s="57">
        <v>2.2204460492503131E-15</v>
      </c>
      <c r="F32" s="57">
        <v>2.2204460492503131E-15</v>
      </c>
      <c r="G32" s="25">
        <f t="shared" si="15"/>
        <v>4.8849813083506888E-14</v>
      </c>
      <c r="H32" s="48"/>
      <c r="I32" s="48"/>
      <c r="J32" s="37">
        <v>4.8849813083506888E-14</v>
      </c>
      <c r="L32" s="7">
        <v>0.14000000000000001</v>
      </c>
      <c r="M32" s="8">
        <v>6.3500000000000001E-2</v>
      </c>
      <c r="N32" s="8">
        <f t="shared" si="10"/>
        <v>0.79649999999999999</v>
      </c>
      <c r="O32" s="1">
        <f>+G32/N32</f>
        <v>6.1330587675463769E-14</v>
      </c>
      <c r="P32" s="1">
        <f t="shared" si="12"/>
        <v>0</v>
      </c>
      <c r="Q32" s="1">
        <f t="shared" si="13"/>
        <v>6.1330587675463769E-14</v>
      </c>
      <c r="R32" s="1">
        <f>+(O32-((+O32*L32)+(O32*M32)))-G32</f>
        <v>0</v>
      </c>
      <c r="S32" s="22">
        <f t="shared" si="14"/>
        <v>1.2480774591956882E-14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</row>
    <row r="33" spans="1:255" s="26" customFormat="1" ht="15.75" x14ac:dyDescent="0.25">
      <c r="A33" s="23" t="s">
        <v>23</v>
      </c>
      <c r="B33" s="24">
        <v>10</v>
      </c>
      <c r="C33" s="24">
        <v>12</v>
      </c>
      <c r="D33" s="20" t="s">
        <v>62</v>
      </c>
      <c r="E33" s="57">
        <v>2.2204460492503131E-15</v>
      </c>
      <c r="F33" s="57">
        <v>2.2204460492503131E-15</v>
      </c>
      <c r="G33" s="25">
        <f t="shared" si="15"/>
        <v>4.8849813083506888E-14</v>
      </c>
      <c r="H33" s="54"/>
      <c r="I33" s="54"/>
      <c r="J33" s="37">
        <v>4.8849813083506888E-14</v>
      </c>
      <c r="L33" s="7">
        <v>0.16</v>
      </c>
      <c r="M33" s="8">
        <v>6.3500000000000001E-2</v>
      </c>
      <c r="N33" s="8">
        <f t="shared" si="10"/>
        <v>0.77649999999999997</v>
      </c>
      <c r="O33" s="1">
        <f>+G33/N33</f>
        <v>6.2910255097883949E-14</v>
      </c>
      <c r="P33" s="1">
        <f t="shared" si="12"/>
        <v>0</v>
      </c>
      <c r="Q33" s="1">
        <f t="shared" si="13"/>
        <v>6.2910255097883949E-14</v>
      </c>
      <c r="R33" s="1">
        <f>+(O33-((+O33*L33)+(O33*M33)))-G33</f>
        <v>0</v>
      </c>
      <c r="S33" s="22">
        <f t="shared" si="14"/>
        <v>1.4060442014377061E-14</v>
      </c>
    </row>
    <row r="34" spans="1:255" s="26" customFormat="1" ht="15.75" x14ac:dyDescent="0.25">
      <c r="A34" s="23" t="s">
        <v>80</v>
      </c>
      <c r="B34" s="24">
        <v>9</v>
      </c>
      <c r="C34" s="24">
        <v>10</v>
      </c>
      <c r="D34" s="20" t="s">
        <v>64</v>
      </c>
      <c r="E34" s="57">
        <v>2.2204460492503131E-15</v>
      </c>
      <c r="F34" s="57">
        <v>2.2204460492503131E-15</v>
      </c>
      <c r="G34" s="25">
        <f t="shared" si="15"/>
        <v>4.2188474935755949E-14</v>
      </c>
      <c r="H34" s="48"/>
      <c r="I34" s="48"/>
      <c r="J34" s="37">
        <v>4.8849813083506888E-14</v>
      </c>
      <c r="L34" s="7">
        <v>0.15</v>
      </c>
      <c r="M34" s="8">
        <v>6.3500000000000001E-2</v>
      </c>
      <c r="N34" s="8">
        <f t="shared" si="10"/>
        <v>0.78649999999999998</v>
      </c>
      <c r="O34" s="1">
        <f>+G34/N34</f>
        <v>5.3640781863643926E-14</v>
      </c>
      <c r="P34" s="1">
        <f t="shared" si="12"/>
        <v>0</v>
      </c>
      <c r="Q34" s="1">
        <f t="shared" si="13"/>
        <v>5.3640781863643926E-14</v>
      </c>
      <c r="R34" s="1">
        <f>+(O34-((+O34*L34)+(O34*M34)))-G34</f>
        <v>0</v>
      </c>
      <c r="S34" s="22">
        <f t="shared" si="14"/>
        <v>1.1452306927887977E-14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</row>
    <row r="35" spans="1:255" s="27" customFormat="1" ht="15.75" x14ac:dyDescent="0.25">
      <c r="A35" s="15"/>
      <c r="B35" s="16"/>
      <c r="C35" s="16"/>
      <c r="D35" s="17"/>
      <c r="E35" s="12"/>
      <c r="F35" s="12"/>
      <c r="G35" s="18"/>
      <c r="H35" s="48"/>
      <c r="I35" s="48"/>
      <c r="J35" s="38" t="s">
        <v>48</v>
      </c>
      <c r="L35" s="7"/>
      <c r="M35" s="8"/>
      <c r="N35" s="8"/>
      <c r="O35" s="5" t="s">
        <v>7</v>
      </c>
      <c r="P35" s="5" t="s">
        <v>8</v>
      </c>
      <c r="Q35" s="5" t="s">
        <v>9</v>
      </c>
      <c r="R35" s="5"/>
      <c r="S35" s="5" t="s">
        <v>10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</row>
    <row r="36" spans="1:255" s="27" customFormat="1" ht="15.75" hidden="1" x14ac:dyDescent="0.25">
      <c r="A36" s="28"/>
      <c r="B36" s="29"/>
      <c r="C36" s="29"/>
      <c r="D36" s="30"/>
      <c r="E36" s="10"/>
      <c r="F36" s="10"/>
      <c r="G36" s="18"/>
      <c r="H36" s="47"/>
      <c r="I36" s="47"/>
      <c r="J36" s="38"/>
      <c r="L36" s="7"/>
      <c r="M36" s="8"/>
      <c r="N36" s="8"/>
      <c r="O36" s="1"/>
      <c r="P36" s="1"/>
      <c r="Q36" s="1"/>
      <c r="R36" s="1"/>
      <c r="S36" s="11"/>
    </row>
    <row r="37" spans="1:255" s="27" customFormat="1" ht="15.75" hidden="1" x14ac:dyDescent="0.25">
      <c r="A37" s="31"/>
      <c r="B37" s="32"/>
      <c r="C37" s="32"/>
      <c r="D37" s="33" t="s">
        <v>30</v>
      </c>
      <c r="G37" s="34">
        <f>SUM(G38:G39)</f>
        <v>0</v>
      </c>
      <c r="H37" s="46"/>
      <c r="I37" s="46"/>
      <c r="J37" s="43"/>
      <c r="O37" s="34">
        <f>SUM(O38:O39)</f>
        <v>0</v>
      </c>
      <c r="P37" s="34">
        <f>SUM(P38:P39)</f>
        <v>0</v>
      </c>
      <c r="Q37" s="34">
        <f>SUM(Q38:Q39)</f>
        <v>0</v>
      </c>
      <c r="R37" s="34">
        <f>SUM(R38:R39)</f>
        <v>0</v>
      </c>
      <c r="S37" s="34">
        <f>SUM(S38:S39)</f>
        <v>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</row>
    <row r="38" spans="1:255" s="27" customFormat="1" ht="15.75" hidden="1" x14ac:dyDescent="0.25">
      <c r="A38" s="15"/>
      <c r="B38" s="16"/>
      <c r="C38" s="16"/>
      <c r="D38" s="6"/>
      <c r="E38" s="12"/>
      <c r="F38" s="12"/>
      <c r="G38" s="18"/>
      <c r="H38" s="48"/>
      <c r="I38" s="48"/>
      <c r="J38" s="38"/>
      <c r="L38" s="7"/>
      <c r="M38" s="8"/>
      <c r="N38" s="8"/>
      <c r="O38" s="1"/>
      <c r="P38" s="1"/>
      <c r="Q38" s="1"/>
      <c r="R38" s="1"/>
      <c r="S38" s="9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</row>
    <row r="39" spans="1:255" s="27" customFormat="1" ht="15.75" hidden="1" x14ac:dyDescent="0.25">
      <c r="A39" s="28"/>
      <c r="B39" s="29"/>
      <c r="C39" s="29"/>
      <c r="D39" s="30"/>
      <c r="E39" s="10"/>
      <c r="F39" s="10"/>
      <c r="G39" s="18"/>
      <c r="H39" s="47"/>
      <c r="I39" s="47"/>
      <c r="J39" s="38"/>
      <c r="L39" s="7"/>
      <c r="M39" s="8"/>
      <c r="N39" s="8"/>
      <c r="O39" s="1"/>
      <c r="P39" s="1"/>
      <c r="Q39" s="1"/>
      <c r="R39" s="1"/>
      <c r="S39" s="11"/>
    </row>
    <row r="40" spans="1:255" s="27" customFormat="1" ht="15.75" x14ac:dyDescent="0.25">
      <c r="A40" s="33" t="s">
        <v>0</v>
      </c>
      <c r="B40" s="32"/>
      <c r="C40" s="32"/>
      <c r="D40" s="33" t="s">
        <v>82</v>
      </c>
      <c r="G40" s="34">
        <f>SUM(G41:G42)</f>
        <v>9.1038288019262836E-14</v>
      </c>
      <c r="H40" s="34">
        <f>SUM(H41:H42)</f>
        <v>0</v>
      </c>
      <c r="I40" s="34">
        <f>SUM(I41:I42)</f>
        <v>0</v>
      </c>
      <c r="J40" s="42">
        <f>SUM(J41:J42)</f>
        <v>9.7699626167013776E-14</v>
      </c>
      <c r="O40" s="34">
        <f>SUM(O41:O42)</f>
        <v>1.1500796631742335E-13</v>
      </c>
      <c r="P40" s="34">
        <f>SUM(P41:P41)</f>
        <v>0</v>
      </c>
      <c r="Q40" s="34">
        <f>SUM(Q41:Q42)</f>
        <v>1.1500796631742335E-13</v>
      </c>
      <c r="R40" s="34">
        <f>SUM(R41:R41)</f>
        <v>0</v>
      </c>
      <c r="S40" s="34">
        <f>SUM(S41:S42)</f>
        <v>2.3969678298160511E-14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</row>
    <row r="41" spans="1:255" s="26" customFormat="1" ht="15.75" x14ac:dyDescent="0.25">
      <c r="A41" s="23" t="s">
        <v>23</v>
      </c>
      <c r="B41" s="24">
        <v>10</v>
      </c>
      <c r="C41" s="24">
        <v>12</v>
      </c>
      <c r="D41" s="20" t="s">
        <v>31</v>
      </c>
      <c r="E41" s="57">
        <v>2.2204460492503131E-15</v>
      </c>
      <c r="F41" s="57">
        <v>2.2204460492503131E-15</v>
      </c>
      <c r="G41" s="25">
        <f>+B41*E41+C41*F41</f>
        <v>4.8849813083506888E-14</v>
      </c>
      <c r="H41" s="48"/>
      <c r="I41" s="48"/>
      <c r="J41" s="37">
        <v>4.8849813083506888E-14</v>
      </c>
      <c r="L41" s="7">
        <v>0.18</v>
      </c>
      <c r="M41" s="8">
        <v>6.3500000000000001E-2</v>
      </c>
      <c r="N41" s="8">
        <f>1-L41-M41</f>
        <v>0.75650000000000006</v>
      </c>
      <c r="O41" s="1">
        <f>+G41/N41</f>
        <v>6.4573447565772481E-14</v>
      </c>
      <c r="P41" s="1">
        <f t="shared" ref="P41:P42" si="16">+H41/O41</f>
        <v>0</v>
      </c>
      <c r="Q41" s="1">
        <f>+O41-P41</f>
        <v>6.4573447565772481E-14</v>
      </c>
      <c r="R41" s="1">
        <f>+(O41-((+O41*L41)+(O41*M41)))-G41</f>
        <v>0</v>
      </c>
      <c r="S41" s="22">
        <f>+O41-G41</f>
        <v>1.5723634482265593E-14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</row>
    <row r="42" spans="1:255" s="26" customFormat="1" ht="15.75" x14ac:dyDescent="0.25">
      <c r="A42" s="23" t="s">
        <v>80</v>
      </c>
      <c r="B42" s="24">
        <v>9</v>
      </c>
      <c r="C42" s="24">
        <v>10</v>
      </c>
      <c r="D42" s="20" t="s">
        <v>33</v>
      </c>
      <c r="E42" s="57">
        <v>2.2204460492503131E-15</v>
      </c>
      <c r="F42" s="57">
        <v>2.2204460492503131E-15</v>
      </c>
      <c r="G42" s="25">
        <f>+B42*E42+C42*F42</f>
        <v>4.2188474935755949E-14</v>
      </c>
      <c r="H42" s="48"/>
      <c r="I42" s="48"/>
      <c r="J42" s="37">
        <v>4.8849813083506888E-14</v>
      </c>
      <c r="L42" s="7">
        <v>0.1</v>
      </c>
      <c r="M42" s="8">
        <v>6.3500000000000001E-2</v>
      </c>
      <c r="N42" s="8">
        <f>1-L42-M42</f>
        <v>0.83650000000000002</v>
      </c>
      <c r="O42" s="1">
        <f>+G42/N42</f>
        <v>5.0434518751650867E-14</v>
      </c>
      <c r="P42" s="1">
        <f t="shared" si="16"/>
        <v>0</v>
      </c>
      <c r="Q42" s="1">
        <f>+O42-P42</f>
        <v>5.0434518751650867E-14</v>
      </c>
      <c r="R42" s="1">
        <f>+(O42-((+O42*L42)+(O42*M42)))-G42</f>
        <v>0</v>
      </c>
      <c r="S42" s="22">
        <f>+O42-G42</f>
        <v>8.246043815894918E-15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</row>
    <row r="43" spans="1:255" s="27" customFormat="1" ht="15.75" x14ac:dyDescent="0.25">
      <c r="A43" s="28"/>
      <c r="B43" s="29"/>
      <c r="C43" s="29"/>
      <c r="D43" s="30"/>
      <c r="E43" s="10"/>
      <c r="F43" s="10"/>
      <c r="G43" s="18"/>
      <c r="H43" s="47"/>
      <c r="I43" s="47"/>
      <c r="J43" s="38"/>
      <c r="L43" s="7"/>
      <c r="M43" s="8"/>
      <c r="N43" s="8"/>
      <c r="O43" s="5" t="s">
        <v>7</v>
      </c>
      <c r="P43" s="5" t="s">
        <v>8</v>
      </c>
      <c r="Q43" s="5" t="s">
        <v>9</v>
      </c>
      <c r="R43" s="5"/>
      <c r="S43" s="5" t="s">
        <v>10</v>
      </c>
    </row>
    <row r="44" spans="1:255" s="27" customFormat="1" ht="15.75" x14ac:dyDescent="0.25">
      <c r="A44" s="33" t="s">
        <v>0</v>
      </c>
      <c r="B44" s="32"/>
      <c r="C44" s="32"/>
      <c r="D44" s="33" t="s">
        <v>34</v>
      </c>
      <c r="G44" s="34">
        <f>SUM(G45:G76)</f>
        <v>1.2607692667643278E-12</v>
      </c>
      <c r="H44" s="34">
        <f>SUM(H45:H76)</f>
        <v>0</v>
      </c>
      <c r="I44" s="34">
        <f>SUM(I45:I76)</f>
        <v>0</v>
      </c>
      <c r="J44" s="42">
        <f>SUM(J45:J76)</f>
        <v>1.5631940186722204E-12</v>
      </c>
      <c r="O44" s="34">
        <f>SUM(O45:O62)</f>
        <v>9.815878621607118E-13</v>
      </c>
      <c r="P44" s="34">
        <f>SUM(P45:P62)</f>
        <v>0</v>
      </c>
      <c r="Q44" s="34">
        <f>SUM(Q45:Q76)</f>
        <v>1.5803092625749785E-12</v>
      </c>
      <c r="R44" s="34">
        <f>SUM(R45:R62)</f>
        <v>0</v>
      </c>
      <c r="S44" s="34">
        <f>SUM(S45:S76)</f>
        <v>3.1953999581065025E-13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</row>
    <row r="45" spans="1:255" s="26" customFormat="1" ht="15.75" x14ac:dyDescent="0.3">
      <c r="A45" s="23" t="s">
        <v>35</v>
      </c>
      <c r="B45" s="24">
        <v>10</v>
      </c>
      <c r="C45" s="24">
        <v>12</v>
      </c>
      <c r="D45" s="20" t="s">
        <v>36</v>
      </c>
      <c r="E45" s="14">
        <v>1.8873791418627661E-15</v>
      </c>
      <c r="F45" s="14">
        <v>1.8873791418627661E-15</v>
      </c>
      <c r="G45" s="25">
        <f>(+B45*E45+C45*F45)</f>
        <v>4.1522341120980855E-14</v>
      </c>
      <c r="H45" s="48"/>
      <c r="I45" s="48"/>
      <c r="J45" s="37">
        <v>4.8849813083506888E-14</v>
      </c>
      <c r="L45" s="7">
        <v>0.2</v>
      </c>
      <c r="M45" s="8">
        <v>6.3500000000000001E-2</v>
      </c>
      <c r="N45" s="8">
        <f t="shared" ref="N45:N77" si="17">1-L45-M45</f>
        <v>0.73650000000000004</v>
      </c>
      <c r="O45" s="1">
        <f>+G45/N45</f>
        <v>5.637792412896246E-14</v>
      </c>
      <c r="P45" s="1">
        <f>+H45/O45</f>
        <v>0</v>
      </c>
      <c r="Q45" s="1">
        <f t="shared" ref="Q45:Q75" si="18">+O45-P45</f>
        <v>5.637792412896246E-14</v>
      </c>
      <c r="R45" s="1">
        <f t="shared" ref="R45:R71" si="19">+(O45-((+O45*L45)+(O45*M45)))-G45</f>
        <v>0</v>
      </c>
      <c r="S45" s="22">
        <f t="shared" ref="S45:S75" si="20">+O45-G45</f>
        <v>1.4855583007981606E-14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</row>
    <row r="46" spans="1:255" s="26" customFormat="1" ht="15.75" x14ac:dyDescent="0.3">
      <c r="A46" s="23" t="s">
        <v>20</v>
      </c>
      <c r="B46" s="24">
        <v>10</v>
      </c>
      <c r="C46" s="24">
        <v>12</v>
      </c>
      <c r="D46" s="20" t="s">
        <v>66</v>
      </c>
      <c r="E46" s="14">
        <v>1.8873791418627661E-15</v>
      </c>
      <c r="F46" s="14">
        <v>1.8873791418627661E-15</v>
      </c>
      <c r="G46" s="25">
        <f t="shared" ref="G46:G77" si="21">(+B46*E46+C46*F46)</f>
        <v>4.1522341120980855E-14</v>
      </c>
      <c r="H46" s="48"/>
      <c r="I46" s="48"/>
      <c r="J46" s="37">
        <v>4.8849813083506888E-14</v>
      </c>
      <c r="L46" s="7">
        <v>0.12</v>
      </c>
      <c r="M46" s="8">
        <v>6.3500000000000001E-2</v>
      </c>
      <c r="N46" s="8">
        <f t="shared" si="17"/>
        <v>0.8165</v>
      </c>
      <c r="O46" s="1">
        <f>+G46/N46</f>
        <v>5.0854061385157203E-14</v>
      </c>
      <c r="P46" s="1">
        <f>+H46/O46</f>
        <v>0</v>
      </c>
      <c r="Q46" s="1">
        <f t="shared" si="18"/>
        <v>5.0854061385157203E-14</v>
      </c>
      <c r="R46" s="1">
        <f t="shared" si="19"/>
        <v>0</v>
      </c>
      <c r="S46" s="22">
        <f t="shared" si="20"/>
        <v>9.3317202641763488E-15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</row>
    <row r="47" spans="1:255" s="26" customFormat="1" ht="15.75" x14ac:dyDescent="0.3">
      <c r="A47" s="23" t="s">
        <v>20</v>
      </c>
      <c r="B47" s="24">
        <v>10</v>
      </c>
      <c r="C47" s="24">
        <v>12</v>
      </c>
      <c r="D47" s="20" t="s">
        <v>76</v>
      </c>
      <c r="E47" s="14">
        <v>1.8873791418627661E-15</v>
      </c>
      <c r="F47" s="14">
        <v>1.8873791418627661E-15</v>
      </c>
      <c r="G47" s="25">
        <f t="shared" si="21"/>
        <v>4.1522341120980855E-14</v>
      </c>
      <c r="H47" s="48"/>
      <c r="I47" s="48"/>
      <c r="J47" s="37">
        <v>4.8849813083506888E-14</v>
      </c>
      <c r="L47" s="7">
        <v>0.18</v>
      </c>
      <c r="M47" s="8">
        <v>6.3500000000000001E-2</v>
      </c>
      <c r="N47" s="8">
        <f t="shared" si="17"/>
        <v>0.75650000000000006</v>
      </c>
      <c r="O47" s="1">
        <f>+G47/N47</f>
        <v>5.4887430430906613E-14</v>
      </c>
      <c r="P47" s="1">
        <f>+H47/O47</f>
        <v>0</v>
      </c>
      <c r="Q47" s="1">
        <f t="shared" si="18"/>
        <v>5.4887430430906613E-14</v>
      </c>
      <c r="R47" s="1">
        <f t="shared" si="19"/>
        <v>0</v>
      </c>
      <c r="S47" s="22">
        <f t="shared" si="20"/>
        <v>1.3365089309925758E-14</v>
      </c>
    </row>
    <row r="48" spans="1:255" s="26" customFormat="1" ht="15.75" x14ac:dyDescent="0.3">
      <c r="A48" s="23" t="s">
        <v>20</v>
      </c>
      <c r="B48" s="24">
        <v>10</v>
      </c>
      <c r="C48" s="24">
        <v>12</v>
      </c>
      <c r="D48" s="20" t="s">
        <v>39</v>
      </c>
      <c r="E48" s="14">
        <v>1.8873791418627661E-15</v>
      </c>
      <c r="F48" s="14">
        <v>1.8873791418627661E-15</v>
      </c>
      <c r="G48" s="25">
        <f t="shared" si="21"/>
        <v>4.1522341120980855E-14</v>
      </c>
      <c r="H48" s="25"/>
      <c r="I48" s="25"/>
      <c r="J48" s="37">
        <v>4.8849813083506888E-14</v>
      </c>
      <c r="L48" s="7">
        <v>0.2</v>
      </c>
      <c r="M48" s="8">
        <v>6.3500000000000001E-2</v>
      </c>
      <c r="N48" s="8">
        <f t="shared" si="17"/>
        <v>0.73650000000000004</v>
      </c>
      <c r="O48" s="1">
        <f>+G48/N48</f>
        <v>5.637792412896246E-14</v>
      </c>
      <c r="P48" s="1">
        <f>+H48/O48</f>
        <v>0</v>
      </c>
      <c r="Q48" s="1">
        <f t="shared" si="18"/>
        <v>5.637792412896246E-14</v>
      </c>
      <c r="R48" s="1">
        <f t="shared" si="19"/>
        <v>0</v>
      </c>
      <c r="S48" s="22">
        <f t="shared" si="20"/>
        <v>1.4855583007981606E-14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</row>
    <row r="49" spans="1:255" s="26" customFormat="1" ht="15.75" x14ac:dyDescent="0.3">
      <c r="A49" s="23" t="s">
        <v>20</v>
      </c>
      <c r="B49" s="24">
        <v>10</v>
      </c>
      <c r="C49" s="24">
        <v>12</v>
      </c>
      <c r="D49" s="20" t="s">
        <v>83</v>
      </c>
      <c r="E49" s="14">
        <v>1.8873791418627661E-15</v>
      </c>
      <c r="F49" s="14">
        <v>1.8873791418627661E-15</v>
      </c>
      <c r="G49" s="25">
        <f t="shared" si="21"/>
        <v>4.1522341120980855E-14</v>
      </c>
      <c r="H49" s="54"/>
      <c r="I49" s="54"/>
      <c r="J49" s="37">
        <v>4.8849813083506888E-14</v>
      </c>
      <c r="L49" s="7">
        <v>0.15</v>
      </c>
      <c r="M49" s="8">
        <v>6.3500000000000001E-2</v>
      </c>
      <c r="N49" s="8">
        <f t="shared" si="17"/>
        <v>0.78649999999999998</v>
      </c>
      <c r="O49" s="1">
        <f>+G49/N49</f>
        <v>5.2793822150007443E-14</v>
      </c>
      <c r="P49" s="1">
        <f>+H49/O49</f>
        <v>0</v>
      </c>
      <c r="Q49" s="1">
        <f t="shared" si="18"/>
        <v>5.2793822150007443E-14</v>
      </c>
      <c r="R49" s="1">
        <f t="shared" si="19"/>
        <v>0</v>
      </c>
      <c r="S49" s="22">
        <f t="shared" si="20"/>
        <v>1.1271481029026589E-14</v>
      </c>
    </row>
    <row r="50" spans="1:255" s="26" customFormat="1" ht="15.75" x14ac:dyDescent="0.3">
      <c r="A50" s="23" t="s">
        <v>20</v>
      </c>
      <c r="B50" s="24">
        <v>10</v>
      </c>
      <c r="C50" s="24">
        <v>12</v>
      </c>
      <c r="D50" s="20" t="s">
        <v>40</v>
      </c>
      <c r="E50" s="14">
        <v>1.8873791418627661E-15</v>
      </c>
      <c r="F50" s="14">
        <v>1.8873791418627661E-15</v>
      </c>
      <c r="G50" s="25">
        <f t="shared" si="21"/>
        <v>4.1522341120980855E-14</v>
      </c>
      <c r="H50" s="25"/>
      <c r="I50" s="25"/>
      <c r="J50" s="37">
        <v>4.8849813083506888E-14</v>
      </c>
      <c r="L50" s="7">
        <v>0.18</v>
      </c>
      <c r="M50" s="8">
        <v>6.3500000000000001E-2</v>
      </c>
      <c r="N50" s="8">
        <f t="shared" si="17"/>
        <v>0.75650000000000006</v>
      </c>
      <c r="O50" s="1">
        <f>+G50/N50</f>
        <v>5.4887430430906613E-14</v>
      </c>
      <c r="P50" s="1">
        <f>+H50/O50</f>
        <v>0</v>
      </c>
      <c r="Q50" s="1">
        <f t="shared" si="18"/>
        <v>5.4887430430906613E-14</v>
      </c>
      <c r="R50" s="1">
        <f t="shared" si="19"/>
        <v>0</v>
      </c>
      <c r="S50" s="22">
        <f t="shared" si="20"/>
        <v>1.3365089309925758E-14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</row>
    <row r="51" spans="1:255" s="26" customFormat="1" ht="15.75" x14ac:dyDescent="0.3">
      <c r="A51" s="23" t="s">
        <v>20</v>
      </c>
      <c r="B51" s="24">
        <v>10</v>
      </c>
      <c r="C51" s="24">
        <v>12</v>
      </c>
      <c r="D51" s="20" t="s">
        <v>38</v>
      </c>
      <c r="E51" s="14">
        <v>1.8873791418627661E-15</v>
      </c>
      <c r="F51" s="14">
        <v>1.8873791418627661E-15</v>
      </c>
      <c r="G51" s="25">
        <f t="shared" si="21"/>
        <v>4.1522341120980855E-14</v>
      </c>
      <c r="H51" s="25"/>
      <c r="I51" s="25"/>
      <c r="J51" s="37">
        <v>4.8849813083506888E-14</v>
      </c>
      <c r="L51" s="7">
        <v>0.17</v>
      </c>
      <c r="M51" s="8">
        <v>6.3500000000000001E-2</v>
      </c>
      <c r="N51" s="8">
        <f t="shared" si="17"/>
        <v>0.76649999999999996</v>
      </c>
      <c r="O51" s="1">
        <f>+G51/N51</f>
        <v>5.4171351756008945E-14</v>
      </c>
      <c r="P51" s="1">
        <f>+H51/O51</f>
        <v>0</v>
      </c>
      <c r="Q51" s="1">
        <f t="shared" si="18"/>
        <v>5.4171351756008945E-14</v>
      </c>
      <c r="R51" s="1">
        <f t="shared" si="19"/>
        <v>0</v>
      </c>
      <c r="S51" s="22">
        <f t="shared" si="20"/>
        <v>1.264901063502809E-14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</row>
    <row r="52" spans="1:255" s="26" customFormat="1" ht="15.75" x14ac:dyDescent="0.3">
      <c r="A52" s="23" t="s">
        <v>20</v>
      </c>
      <c r="B52" s="24">
        <v>10</v>
      </c>
      <c r="C52" s="24">
        <v>12</v>
      </c>
      <c r="D52" s="20" t="s">
        <v>55</v>
      </c>
      <c r="E52" s="14">
        <v>1.8873791418627661E-15</v>
      </c>
      <c r="F52" s="14">
        <v>1.8873791418627661E-15</v>
      </c>
      <c r="G52" s="25">
        <f t="shared" si="21"/>
        <v>4.1522341120980855E-14</v>
      </c>
      <c r="H52" s="48"/>
      <c r="I52" s="48"/>
      <c r="J52" s="37">
        <v>4.8849813083506888E-14</v>
      </c>
      <c r="L52" s="7">
        <v>0.24</v>
      </c>
      <c r="M52" s="8">
        <v>6.3500000000000001E-2</v>
      </c>
      <c r="N52" s="8">
        <f t="shared" si="17"/>
        <v>0.69650000000000001</v>
      </c>
      <c r="O52" s="1">
        <f>+G52/N52</f>
        <v>5.9615708716411849E-14</v>
      </c>
      <c r="P52" s="1">
        <f>+H52/O52</f>
        <v>0</v>
      </c>
      <c r="Q52" s="1">
        <f t="shared" si="18"/>
        <v>5.9615708716411849E-14</v>
      </c>
      <c r="R52" s="1">
        <f t="shared" si="19"/>
        <v>0</v>
      </c>
      <c r="S52" s="22">
        <f t="shared" si="20"/>
        <v>1.8093367595430995E-14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</row>
    <row r="53" spans="1:255" s="26" customFormat="1" ht="15.75" x14ac:dyDescent="0.3">
      <c r="A53" s="23" t="s">
        <v>20</v>
      </c>
      <c r="B53" s="24">
        <v>10</v>
      </c>
      <c r="C53" s="24">
        <v>12</v>
      </c>
      <c r="D53" s="20" t="s">
        <v>41</v>
      </c>
      <c r="E53" s="14">
        <v>1.8873791418627661E-15</v>
      </c>
      <c r="F53" s="14">
        <v>1.8873791418627661E-15</v>
      </c>
      <c r="G53" s="25">
        <f t="shared" si="21"/>
        <v>4.1522341120980855E-14</v>
      </c>
      <c r="H53" s="48"/>
      <c r="I53" s="48"/>
      <c r="J53" s="37">
        <v>4.8849813083506888E-14</v>
      </c>
      <c r="L53" s="7">
        <v>0.19</v>
      </c>
      <c r="M53" s="8">
        <v>6.3500000000000001E-2</v>
      </c>
      <c r="N53" s="8">
        <f t="shared" si="17"/>
        <v>0.74650000000000005</v>
      </c>
      <c r="O53" s="1">
        <f>+G53/N53</f>
        <v>5.5622694066953586E-14</v>
      </c>
      <c r="P53" s="1">
        <f>+H53/O53</f>
        <v>0</v>
      </c>
      <c r="Q53" s="1">
        <f t="shared" si="18"/>
        <v>5.5622694066953586E-14</v>
      </c>
      <c r="R53" s="1">
        <f t="shared" si="19"/>
        <v>0</v>
      </c>
      <c r="S53" s="22">
        <f t="shared" si="20"/>
        <v>1.4100352945972732E-14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</row>
    <row r="54" spans="1:255" s="26" customFormat="1" ht="15.75" x14ac:dyDescent="0.3">
      <c r="A54" s="23" t="s">
        <v>20</v>
      </c>
      <c r="B54" s="24">
        <v>10</v>
      </c>
      <c r="C54" s="24">
        <v>12</v>
      </c>
      <c r="D54" s="20" t="s">
        <v>42</v>
      </c>
      <c r="E54" s="14">
        <v>1.8873791418627661E-15</v>
      </c>
      <c r="F54" s="14">
        <v>1.8873791418627661E-15</v>
      </c>
      <c r="G54" s="25">
        <f t="shared" si="21"/>
        <v>4.1522341120980855E-14</v>
      </c>
      <c r="H54" s="48"/>
      <c r="I54" s="48"/>
      <c r="J54" s="37">
        <v>4.8849813083506888E-14</v>
      </c>
      <c r="L54" s="7">
        <v>0.28000000000000003</v>
      </c>
      <c r="M54" s="8">
        <v>6.3500000000000001E-2</v>
      </c>
      <c r="N54" s="8">
        <f t="shared" si="17"/>
        <v>0.65649999999999997</v>
      </c>
      <c r="O54" s="1">
        <f>+G54/N54</f>
        <v>6.3248044357929714E-14</v>
      </c>
      <c r="P54" s="1">
        <f>+H54/O54</f>
        <v>0</v>
      </c>
      <c r="Q54" s="1">
        <f t="shared" si="18"/>
        <v>6.3248044357929714E-14</v>
      </c>
      <c r="R54" s="1">
        <f t="shared" si="19"/>
        <v>0</v>
      </c>
      <c r="S54" s="22">
        <f t="shared" si="20"/>
        <v>2.1725703236948859E-14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</row>
    <row r="55" spans="1:255" s="26" customFormat="1" ht="15.75" x14ac:dyDescent="0.3">
      <c r="A55" s="23" t="s">
        <v>20</v>
      </c>
      <c r="B55" s="24">
        <v>10</v>
      </c>
      <c r="C55" s="24">
        <v>12</v>
      </c>
      <c r="D55" s="20" t="s">
        <v>37</v>
      </c>
      <c r="E55" s="14">
        <v>1.8873791418627661E-15</v>
      </c>
      <c r="F55" s="14">
        <v>1.8873791418627661E-15</v>
      </c>
      <c r="G55" s="25">
        <f t="shared" si="21"/>
        <v>4.1522341120980855E-14</v>
      </c>
      <c r="H55" s="48"/>
      <c r="I55" s="48"/>
      <c r="J55" s="37">
        <v>4.8849813083506888E-14</v>
      </c>
      <c r="L55" s="7">
        <v>0.18</v>
      </c>
      <c r="M55" s="8">
        <v>6.3500000000000001E-2</v>
      </c>
      <c r="N55" s="8">
        <f t="shared" si="17"/>
        <v>0.75650000000000006</v>
      </c>
      <c r="O55" s="1">
        <f>+G55/N55</f>
        <v>5.4887430430906613E-14</v>
      </c>
      <c r="P55" s="1">
        <f>+H55/O55</f>
        <v>0</v>
      </c>
      <c r="Q55" s="1">
        <f t="shared" si="18"/>
        <v>5.4887430430906613E-14</v>
      </c>
      <c r="R55" s="1">
        <f t="shared" si="19"/>
        <v>0</v>
      </c>
      <c r="S55" s="22">
        <f t="shared" si="20"/>
        <v>1.3365089309925758E-14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</row>
    <row r="56" spans="1:255" s="26" customFormat="1" ht="15.75" x14ac:dyDescent="0.3">
      <c r="A56" s="23" t="s">
        <v>20</v>
      </c>
      <c r="B56" s="24">
        <v>10</v>
      </c>
      <c r="C56" s="24">
        <v>12</v>
      </c>
      <c r="D56" s="20" t="s">
        <v>43</v>
      </c>
      <c r="E56" s="14">
        <v>1.8873791418627661E-15</v>
      </c>
      <c r="F56" s="14">
        <v>1.8873791418627661E-15</v>
      </c>
      <c r="G56" s="25">
        <f t="shared" si="21"/>
        <v>4.1522341120980855E-14</v>
      </c>
      <c r="H56" s="48"/>
      <c r="I56" s="48"/>
      <c r="J56" s="37">
        <v>4.8849813083506888E-14</v>
      </c>
      <c r="L56" s="7">
        <v>0.17</v>
      </c>
      <c r="M56" s="8">
        <v>6.3500000000000001E-2</v>
      </c>
      <c r="N56" s="8">
        <f t="shared" si="17"/>
        <v>0.76649999999999996</v>
      </c>
      <c r="O56" s="1">
        <f>+G56/N56</f>
        <v>5.4171351756008945E-14</v>
      </c>
      <c r="P56" s="1">
        <f>+H56/O56</f>
        <v>0</v>
      </c>
      <c r="Q56" s="1">
        <f t="shared" si="18"/>
        <v>5.4171351756008945E-14</v>
      </c>
      <c r="R56" s="1">
        <f t="shared" si="19"/>
        <v>0</v>
      </c>
      <c r="S56" s="22">
        <f t="shared" si="20"/>
        <v>1.264901063502809E-14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</row>
    <row r="57" spans="1:255" s="26" customFormat="1" ht="16.149999999999999" customHeight="1" x14ac:dyDescent="0.3">
      <c r="A57" s="23" t="s">
        <v>23</v>
      </c>
      <c r="B57" s="24">
        <v>10</v>
      </c>
      <c r="C57" s="24">
        <v>12</v>
      </c>
      <c r="D57" s="20" t="s">
        <v>47</v>
      </c>
      <c r="E57" s="14">
        <v>1.8873791418627661E-15</v>
      </c>
      <c r="F57" s="14">
        <v>1.8873791418627661E-15</v>
      </c>
      <c r="G57" s="25">
        <f t="shared" si="21"/>
        <v>4.1522341120980855E-14</v>
      </c>
      <c r="H57" s="48"/>
      <c r="I57" s="48"/>
      <c r="J57" s="37">
        <v>4.8849813083506888E-14</v>
      </c>
      <c r="L57" s="7">
        <v>0.15</v>
      </c>
      <c r="M57" s="8">
        <v>6.3500000000000001E-2</v>
      </c>
      <c r="N57" s="8">
        <f t="shared" si="17"/>
        <v>0.78649999999999998</v>
      </c>
      <c r="O57" s="1">
        <f>+G57/N57</f>
        <v>5.2793822150007443E-14</v>
      </c>
      <c r="P57" s="1">
        <f>+H57/O57</f>
        <v>0</v>
      </c>
      <c r="Q57" s="1">
        <f t="shared" si="18"/>
        <v>5.2793822150007443E-14</v>
      </c>
      <c r="R57" s="1">
        <f t="shared" si="19"/>
        <v>0</v>
      </c>
      <c r="S57" s="22">
        <f t="shared" si="20"/>
        <v>1.1271481029026589E-14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</row>
    <row r="58" spans="1:255" s="26" customFormat="1" ht="15.75" x14ac:dyDescent="0.3">
      <c r="A58" s="23" t="s">
        <v>46</v>
      </c>
      <c r="B58" s="24">
        <v>10</v>
      </c>
      <c r="C58" s="24">
        <v>12</v>
      </c>
      <c r="D58" s="20" t="s">
        <v>75</v>
      </c>
      <c r="E58" s="14">
        <v>1.8873791418627661E-15</v>
      </c>
      <c r="F58" s="14">
        <v>1.8873791418627661E-15</v>
      </c>
      <c r="G58" s="25">
        <f t="shared" si="21"/>
        <v>4.1522341120980855E-14</v>
      </c>
      <c r="H58" s="65"/>
      <c r="I58" s="65"/>
      <c r="J58" s="37">
        <v>4.8849813083506888E-14</v>
      </c>
      <c r="L58" s="7">
        <v>0.1</v>
      </c>
      <c r="M58" s="8">
        <v>6.3500000000000001E-2</v>
      </c>
      <c r="N58" s="8">
        <f t="shared" si="17"/>
        <v>0.83650000000000002</v>
      </c>
      <c r="O58" s="1">
        <f>+G58/N58</f>
        <v>4.9638184245045847E-14</v>
      </c>
      <c r="P58" s="1">
        <f>+H58/O58</f>
        <v>0</v>
      </c>
      <c r="Q58" s="1">
        <f t="shared" si="18"/>
        <v>4.9638184245045847E-14</v>
      </c>
      <c r="R58" s="1">
        <f t="shared" si="19"/>
        <v>0</v>
      </c>
      <c r="S58" s="22">
        <f t="shared" si="20"/>
        <v>8.1158431240649923E-15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</row>
    <row r="59" spans="1:255" s="26" customFormat="1" ht="15.75" x14ac:dyDescent="0.3">
      <c r="A59" s="23" t="s">
        <v>23</v>
      </c>
      <c r="B59" s="24">
        <v>10</v>
      </c>
      <c r="C59" s="24">
        <v>12</v>
      </c>
      <c r="D59" s="20" t="s">
        <v>84</v>
      </c>
      <c r="E59" s="14">
        <v>1.8873791418627661E-15</v>
      </c>
      <c r="F59" s="14">
        <v>1.8873791418627661E-15</v>
      </c>
      <c r="G59" s="25">
        <f t="shared" si="21"/>
        <v>4.1522341120980855E-14</v>
      </c>
      <c r="H59" s="54"/>
      <c r="I59" s="54"/>
      <c r="J59" s="37">
        <v>4.8849813083506888E-14</v>
      </c>
      <c r="L59" s="7">
        <v>0.13</v>
      </c>
      <c r="M59" s="8">
        <v>6.3500000000000001E-2</v>
      </c>
      <c r="N59" s="8">
        <f t="shared" si="17"/>
        <v>0.80649999999999999</v>
      </c>
      <c r="O59" s="1">
        <f>+G59/N59</f>
        <v>5.1484613913181466E-14</v>
      </c>
      <c r="P59" s="1">
        <f>+H59/O59</f>
        <v>0</v>
      </c>
      <c r="Q59" s="1">
        <f t="shared" si="18"/>
        <v>5.1484613913181466E-14</v>
      </c>
      <c r="R59" s="1">
        <f t="shared" si="19"/>
        <v>0</v>
      </c>
      <c r="S59" s="22">
        <f t="shared" si="20"/>
        <v>9.9622727922006115E-15</v>
      </c>
    </row>
    <row r="60" spans="1:255" s="26" customFormat="1" ht="15.75" x14ac:dyDescent="0.3">
      <c r="A60" s="23" t="s">
        <v>23</v>
      </c>
      <c r="B60" s="24">
        <v>10</v>
      </c>
      <c r="C60" s="24">
        <v>12</v>
      </c>
      <c r="D60" s="20" t="s">
        <v>45</v>
      </c>
      <c r="E60" s="14">
        <v>1.8873791418627661E-15</v>
      </c>
      <c r="F60" s="14">
        <v>1.8873791418627661E-15</v>
      </c>
      <c r="G60" s="25">
        <f t="shared" si="21"/>
        <v>4.1522341120980855E-14</v>
      </c>
      <c r="H60" s="48"/>
      <c r="I60" s="48"/>
      <c r="J60" s="37">
        <v>4.8849813083506888E-14</v>
      </c>
      <c r="L60" s="7">
        <v>0.14000000000000001</v>
      </c>
      <c r="M60" s="8">
        <v>6.3500000000000001E-2</v>
      </c>
      <c r="N60" s="8">
        <f t="shared" si="17"/>
        <v>0.79649999999999999</v>
      </c>
      <c r="O60" s="1">
        <f>+G60/N60</f>
        <v>5.21309995241442E-14</v>
      </c>
      <c r="P60" s="1">
        <f>+H60/O60</f>
        <v>0</v>
      </c>
      <c r="Q60" s="1">
        <f t="shared" si="18"/>
        <v>5.21309995241442E-14</v>
      </c>
      <c r="R60" s="1">
        <f t="shared" si="19"/>
        <v>0</v>
      </c>
      <c r="S60" s="22">
        <f t="shared" si="20"/>
        <v>1.0608658403163345E-14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</row>
    <row r="61" spans="1:255" s="26" customFormat="1" ht="15.75" x14ac:dyDescent="0.3">
      <c r="A61" s="23" t="s">
        <v>23</v>
      </c>
      <c r="B61" s="24">
        <v>10</v>
      </c>
      <c r="C61" s="24">
        <v>12</v>
      </c>
      <c r="D61" s="20" t="s">
        <v>44</v>
      </c>
      <c r="E61" s="14">
        <v>1.8873791418627661E-15</v>
      </c>
      <c r="F61" s="14">
        <v>1.8873791418627661E-15</v>
      </c>
      <c r="G61" s="25">
        <f t="shared" si="21"/>
        <v>4.1522341120980855E-14</v>
      </c>
      <c r="H61" s="48"/>
      <c r="I61" s="48"/>
      <c r="J61" s="37">
        <v>4.8849813083506888E-14</v>
      </c>
      <c r="L61" s="7">
        <v>0.17</v>
      </c>
      <c r="M61" s="8">
        <v>6.3500000000000001E-2</v>
      </c>
      <c r="N61" s="8">
        <f t="shared" si="17"/>
        <v>0.76649999999999996</v>
      </c>
      <c r="O61" s="1">
        <f>+G61/N61</f>
        <v>5.4171351756008945E-14</v>
      </c>
      <c r="P61" s="1">
        <f>+H61/O61</f>
        <v>0</v>
      </c>
      <c r="Q61" s="1">
        <f t="shared" si="18"/>
        <v>5.4171351756008945E-14</v>
      </c>
      <c r="R61" s="1">
        <f t="shared" si="19"/>
        <v>0</v>
      </c>
      <c r="S61" s="22">
        <f t="shared" si="20"/>
        <v>1.264901063502809E-14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</row>
    <row r="62" spans="1:255" s="26" customFormat="1" ht="15.75" x14ac:dyDescent="0.3">
      <c r="A62" s="23" t="s">
        <v>23</v>
      </c>
      <c r="B62" s="24">
        <v>10</v>
      </c>
      <c r="C62" s="24">
        <v>12</v>
      </c>
      <c r="D62" s="20" t="s">
        <v>50</v>
      </c>
      <c r="E62" s="14">
        <v>1.8873791418627661E-15</v>
      </c>
      <c r="F62" s="14">
        <v>1.8873791418627661E-15</v>
      </c>
      <c r="G62" s="25">
        <f t="shared" si="21"/>
        <v>4.1522341120980855E-14</v>
      </c>
      <c r="H62" s="48"/>
      <c r="I62" s="48"/>
      <c r="J62" s="37">
        <v>4.8849813083506888E-14</v>
      </c>
      <c r="L62" s="7">
        <v>0.16</v>
      </c>
      <c r="M62" s="8">
        <v>6.3500000000000001E-2</v>
      </c>
      <c r="N62" s="8">
        <f t="shared" si="17"/>
        <v>0.77649999999999997</v>
      </c>
      <c r="O62" s="1">
        <f>+G62/N62</f>
        <v>5.3473716833201361E-14</v>
      </c>
      <c r="P62" s="1">
        <f>+H62/O62</f>
        <v>0</v>
      </c>
      <c r="Q62" s="1">
        <f t="shared" si="18"/>
        <v>5.3473716833201361E-14</v>
      </c>
      <c r="R62" s="1">
        <f t="shared" si="19"/>
        <v>0</v>
      </c>
      <c r="S62" s="22">
        <f t="shared" si="20"/>
        <v>1.1951375712220507E-14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</row>
    <row r="63" spans="1:255" s="26" customFormat="1" ht="15.75" x14ac:dyDescent="0.3">
      <c r="A63" s="23" t="s">
        <v>46</v>
      </c>
      <c r="B63" s="24">
        <v>10</v>
      </c>
      <c r="C63" s="24">
        <v>12</v>
      </c>
      <c r="D63" s="20" t="s">
        <v>65</v>
      </c>
      <c r="E63" s="14">
        <v>1.8873791418627661E-15</v>
      </c>
      <c r="F63" s="14">
        <v>1.8873791418627661E-15</v>
      </c>
      <c r="G63" s="25">
        <f t="shared" si="21"/>
        <v>4.1522341120980855E-14</v>
      </c>
      <c r="H63" s="48"/>
      <c r="I63" s="48"/>
      <c r="J63" s="37">
        <v>4.8849813083506888E-14</v>
      </c>
      <c r="L63" s="7">
        <v>0.19</v>
      </c>
      <c r="M63" s="8">
        <v>6.3500000000000001E-2</v>
      </c>
      <c r="N63" s="8">
        <f t="shared" si="17"/>
        <v>0.74650000000000005</v>
      </c>
      <c r="O63" s="1">
        <f>+G63/N63</f>
        <v>5.5622694066953586E-14</v>
      </c>
      <c r="P63" s="1">
        <f>+H63/O63</f>
        <v>0</v>
      </c>
      <c r="Q63" s="1">
        <f t="shared" si="18"/>
        <v>5.5622694066953586E-14</v>
      </c>
      <c r="R63" s="1">
        <f t="shared" si="19"/>
        <v>0</v>
      </c>
      <c r="S63" s="22">
        <f t="shared" si="20"/>
        <v>1.4100352945972732E-14</v>
      </c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</row>
    <row r="64" spans="1:255" s="26" customFormat="1" ht="15.75" x14ac:dyDescent="0.3">
      <c r="A64" s="23" t="s">
        <v>46</v>
      </c>
      <c r="B64" s="24">
        <v>10</v>
      </c>
      <c r="C64" s="24">
        <v>12</v>
      </c>
      <c r="D64" s="20" t="s">
        <v>87</v>
      </c>
      <c r="E64" s="14">
        <v>1.8873791418627661E-15</v>
      </c>
      <c r="F64" s="14">
        <v>1.8873791418627661E-15</v>
      </c>
      <c r="G64" s="25">
        <f t="shared" si="21"/>
        <v>4.1522341120980855E-14</v>
      </c>
      <c r="H64" s="54"/>
      <c r="I64" s="54"/>
      <c r="J64" s="37">
        <v>4.8849813083506888E-14</v>
      </c>
      <c r="L64" s="7">
        <v>0.02</v>
      </c>
      <c r="M64" s="8">
        <v>6.3500000000000001E-2</v>
      </c>
      <c r="N64" s="8">
        <f t="shared" si="17"/>
        <v>0.91649999999999998</v>
      </c>
      <c r="O64" s="1">
        <f>+G64/N64</f>
        <v>4.5305336738658869E-14</v>
      </c>
      <c r="P64" s="1">
        <f>+H64/O64</f>
        <v>0</v>
      </c>
      <c r="Q64" s="1">
        <f t="shared" si="18"/>
        <v>4.5305336738658869E-14</v>
      </c>
      <c r="R64" s="1">
        <f t="shared" si="19"/>
        <v>0</v>
      </c>
      <c r="S64" s="22">
        <f t="shared" si="20"/>
        <v>3.7829956176780141E-15</v>
      </c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</row>
    <row r="65" spans="1:255" s="26" customFormat="1" ht="15.75" x14ac:dyDescent="0.3">
      <c r="A65" s="23" t="s">
        <v>32</v>
      </c>
      <c r="B65" s="24">
        <v>9</v>
      </c>
      <c r="C65" s="24">
        <v>10</v>
      </c>
      <c r="D65" s="20" t="s">
        <v>54</v>
      </c>
      <c r="E65" s="14">
        <v>1.8873791418627661E-15</v>
      </c>
      <c r="F65" s="14">
        <v>1.8873791418627661E-15</v>
      </c>
      <c r="G65" s="25">
        <f t="shared" si="21"/>
        <v>3.5860203695392556E-14</v>
      </c>
      <c r="H65" s="48"/>
      <c r="I65" s="48"/>
      <c r="J65" s="37">
        <v>4.8849813083506888E-14</v>
      </c>
      <c r="L65" s="7">
        <v>0.11</v>
      </c>
      <c r="M65" s="8">
        <v>6.3500000000000001E-2</v>
      </c>
      <c r="N65" s="8">
        <f t="shared" si="17"/>
        <v>0.82650000000000001</v>
      </c>
      <c r="O65" s="1">
        <f>+G65/N65</f>
        <v>4.3388026249718761E-14</v>
      </c>
      <c r="P65" s="1">
        <f>+H65/O65</f>
        <v>0</v>
      </c>
      <c r="Q65" s="1">
        <f t="shared" si="18"/>
        <v>4.3388026249718761E-14</v>
      </c>
      <c r="R65" s="1">
        <f t="shared" si="19"/>
        <v>0</v>
      </c>
      <c r="S65" s="22">
        <f t="shared" si="20"/>
        <v>7.5278225543262044E-15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</row>
    <row r="66" spans="1:255" s="26" customFormat="1" ht="15.75" x14ac:dyDescent="0.3">
      <c r="A66" s="23" t="s">
        <v>32</v>
      </c>
      <c r="B66" s="24">
        <v>9</v>
      </c>
      <c r="C66" s="24">
        <v>10</v>
      </c>
      <c r="D66" s="20" t="s">
        <v>59</v>
      </c>
      <c r="E66" s="14">
        <v>1.8873791418627661E-15</v>
      </c>
      <c r="F66" s="14">
        <v>1.8873791418627661E-15</v>
      </c>
      <c r="G66" s="25">
        <f t="shared" si="21"/>
        <v>3.5860203695392556E-14</v>
      </c>
      <c r="H66" s="48"/>
      <c r="I66" s="48"/>
      <c r="J66" s="37">
        <v>4.8849813083506888E-14</v>
      </c>
      <c r="L66" s="7">
        <v>0.06</v>
      </c>
      <c r="M66" s="8">
        <v>6.3500000000000001E-2</v>
      </c>
      <c r="N66" s="8">
        <f t="shared" si="17"/>
        <v>0.87649999999999995</v>
      </c>
      <c r="O66" s="1">
        <f>+G66/N66</f>
        <v>4.0912953445969832E-14</v>
      </c>
      <c r="P66" s="1">
        <f>+H66/O66</f>
        <v>0</v>
      </c>
      <c r="Q66" s="1">
        <f t="shared" si="18"/>
        <v>4.0912953445969832E-14</v>
      </c>
      <c r="R66" s="1">
        <f t="shared" si="19"/>
        <v>0</v>
      </c>
      <c r="S66" s="22">
        <f t="shared" si="20"/>
        <v>5.0527497505772757E-15</v>
      </c>
    </row>
    <row r="67" spans="1:255" s="26" customFormat="1" ht="15.75" x14ac:dyDescent="0.3">
      <c r="A67" s="23" t="s">
        <v>32</v>
      </c>
      <c r="B67" s="24">
        <v>9</v>
      </c>
      <c r="C67" s="24">
        <v>10</v>
      </c>
      <c r="D67" s="20" t="s">
        <v>77</v>
      </c>
      <c r="E67" s="14">
        <v>1.8873791418627661E-15</v>
      </c>
      <c r="F67" s="14">
        <v>1.8873791418627661E-15</v>
      </c>
      <c r="G67" s="25">
        <f t="shared" si="21"/>
        <v>3.5860203695392556E-14</v>
      </c>
      <c r="H67" s="54"/>
      <c r="I67" s="54"/>
      <c r="J67" s="37">
        <v>4.8849813083506888E-14</v>
      </c>
      <c r="L67" s="7">
        <v>0.02</v>
      </c>
      <c r="M67" s="8">
        <v>6.3500000000000001E-2</v>
      </c>
      <c r="N67" s="8">
        <f t="shared" si="17"/>
        <v>0.91649999999999998</v>
      </c>
      <c r="O67" s="1">
        <f>+G67/N67</f>
        <v>3.9127336274296295E-14</v>
      </c>
      <c r="P67" s="1">
        <f>+H67/O67</f>
        <v>0</v>
      </c>
      <c r="Q67" s="1">
        <f t="shared" si="18"/>
        <v>3.9127336274296295E-14</v>
      </c>
      <c r="R67" s="1">
        <f t="shared" si="19"/>
        <v>0</v>
      </c>
      <c r="S67" s="22">
        <f t="shared" si="20"/>
        <v>3.2671325789037392E-15</v>
      </c>
    </row>
    <row r="68" spans="1:255" s="26" customFormat="1" ht="15.75" x14ac:dyDescent="0.3">
      <c r="A68" s="23" t="s">
        <v>32</v>
      </c>
      <c r="B68" s="24">
        <v>9</v>
      </c>
      <c r="C68" s="24">
        <v>10</v>
      </c>
      <c r="D68" s="20" t="s">
        <v>14</v>
      </c>
      <c r="E68" s="14">
        <v>1.8873791418627661E-15</v>
      </c>
      <c r="F68" s="14">
        <v>1.8873791418627661E-15</v>
      </c>
      <c r="G68" s="25">
        <f t="shared" si="21"/>
        <v>3.5860203695392556E-14</v>
      </c>
      <c r="H68" s="48"/>
      <c r="I68" s="48"/>
      <c r="J68" s="37">
        <v>4.8849813083506888E-14</v>
      </c>
      <c r="L68" s="7">
        <v>0.06</v>
      </c>
      <c r="M68" s="8">
        <v>6.3500000000000001E-2</v>
      </c>
      <c r="N68" s="8">
        <f t="shared" si="17"/>
        <v>0.87649999999999995</v>
      </c>
      <c r="O68" s="1">
        <f>+G68/N68</f>
        <v>4.0912953445969832E-14</v>
      </c>
      <c r="P68" s="1">
        <f>+H68/O68</f>
        <v>0</v>
      </c>
      <c r="Q68" s="1">
        <f t="shared" si="18"/>
        <v>4.0912953445969832E-14</v>
      </c>
      <c r="R68" s="1">
        <f t="shared" si="19"/>
        <v>0</v>
      </c>
      <c r="S68" s="22">
        <f t="shared" si="20"/>
        <v>5.0527497505772757E-15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</row>
    <row r="69" spans="1:255" s="26" customFormat="1" ht="15.75" x14ac:dyDescent="0.3">
      <c r="A69" s="23" t="s">
        <v>32</v>
      </c>
      <c r="B69" s="24">
        <v>9</v>
      </c>
      <c r="C69" s="24">
        <v>10</v>
      </c>
      <c r="D69" s="20" t="s">
        <v>69</v>
      </c>
      <c r="E69" s="14">
        <v>1.8873791418627661E-15</v>
      </c>
      <c r="F69" s="14">
        <v>1.8873791418627661E-15</v>
      </c>
      <c r="G69" s="25">
        <f t="shared" si="21"/>
        <v>3.5860203695392556E-14</v>
      </c>
      <c r="H69" s="48"/>
      <c r="I69" s="48"/>
      <c r="J69" s="37">
        <v>4.8849813083506888E-14</v>
      </c>
      <c r="L69" s="7">
        <v>0.02</v>
      </c>
      <c r="M69" s="8">
        <v>6.3500000000000001E-2</v>
      </c>
      <c r="N69" s="8">
        <f t="shared" si="17"/>
        <v>0.91649999999999998</v>
      </c>
      <c r="O69" s="1">
        <f>+G69/N69</f>
        <v>3.9127336274296295E-14</v>
      </c>
      <c r="P69" s="1">
        <f>+H69/O69</f>
        <v>0</v>
      </c>
      <c r="Q69" s="1">
        <f t="shared" si="18"/>
        <v>3.9127336274296295E-14</v>
      </c>
      <c r="R69" s="1">
        <f t="shared" si="19"/>
        <v>0</v>
      </c>
      <c r="S69" s="22">
        <f t="shared" si="20"/>
        <v>3.2671325789037392E-15</v>
      </c>
    </row>
    <row r="70" spans="1:255" s="26" customFormat="1" ht="15.75" x14ac:dyDescent="0.3">
      <c r="A70" s="23" t="s">
        <v>32</v>
      </c>
      <c r="B70" s="24">
        <v>9</v>
      </c>
      <c r="C70" s="24">
        <v>10</v>
      </c>
      <c r="D70" s="20" t="s">
        <v>70</v>
      </c>
      <c r="E70" s="14">
        <v>1.8873791418627661E-15</v>
      </c>
      <c r="F70" s="14">
        <v>1.8873791418627661E-15</v>
      </c>
      <c r="G70" s="25">
        <f t="shared" si="21"/>
        <v>3.5860203695392556E-14</v>
      </c>
      <c r="H70" s="48"/>
      <c r="I70" s="48"/>
      <c r="J70" s="37">
        <v>4.8849813083506888E-14</v>
      </c>
      <c r="L70" s="7">
        <v>0.02</v>
      </c>
      <c r="M70" s="8">
        <v>6.3500000000000001E-2</v>
      </c>
      <c r="N70" s="8">
        <f t="shared" si="17"/>
        <v>0.91649999999999998</v>
      </c>
      <c r="O70" s="1">
        <f>+G70/N70</f>
        <v>3.9127336274296295E-14</v>
      </c>
      <c r="P70" s="1">
        <f>+H70/O70</f>
        <v>0</v>
      </c>
      <c r="Q70" s="1">
        <f t="shared" si="18"/>
        <v>3.9127336274296295E-14</v>
      </c>
      <c r="R70" s="1">
        <f t="shared" si="19"/>
        <v>0</v>
      </c>
      <c r="S70" s="22">
        <f t="shared" si="20"/>
        <v>3.2671325789037392E-15</v>
      </c>
    </row>
    <row r="71" spans="1:255" s="26" customFormat="1" ht="15.75" x14ac:dyDescent="0.3">
      <c r="A71" s="23" t="s">
        <v>32</v>
      </c>
      <c r="B71" s="24">
        <v>9</v>
      </c>
      <c r="C71" s="24">
        <v>10</v>
      </c>
      <c r="D71" s="20" t="s">
        <v>51</v>
      </c>
      <c r="E71" s="14">
        <v>1.8873791418627661E-15</v>
      </c>
      <c r="F71" s="14">
        <v>1.8873791418627661E-15</v>
      </c>
      <c r="G71" s="25">
        <f t="shared" si="21"/>
        <v>3.5860203695392556E-14</v>
      </c>
      <c r="H71" s="48"/>
      <c r="I71" s="48"/>
      <c r="J71" s="37">
        <v>4.8849813083506888E-14</v>
      </c>
      <c r="L71" s="7">
        <v>0.16</v>
      </c>
      <c r="M71" s="8">
        <v>6.3500000000000001E-2</v>
      </c>
      <c r="N71" s="8">
        <f t="shared" si="17"/>
        <v>0.77649999999999997</v>
      </c>
      <c r="O71" s="1">
        <f>+G71/N71</f>
        <v>4.6181846355946631E-14</v>
      </c>
      <c r="P71" s="1">
        <f>+H71/O71</f>
        <v>0</v>
      </c>
      <c r="Q71" s="1">
        <f t="shared" si="18"/>
        <v>4.6181846355946631E-14</v>
      </c>
      <c r="R71" s="1">
        <f t="shared" si="19"/>
        <v>0</v>
      </c>
      <c r="S71" s="22">
        <f t="shared" si="20"/>
        <v>1.0321642660554075E-14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</row>
    <row r="72" spans="1:255" s="26" customFormat="1" ht="15.75" x14ac:dyDescent="0.3">
      <c r="A72" s="23" t="s">
        <v>32</v>
      </c>
      <c r="B72" s="24">
        <v>9</v>
      </c>
      <c r="C72" s="24">
        <v>10</v>
      </c>
      <c r="D72" s="20" t="s">
        <v>58</v>
      </c>
      <c r="E72" s="14">
        <v>1.8873791418627661E-15</v>
      </c>
      <c r="F72" s="14">
        <v>1.8873791418627661E-15</v>
      </c>
      <c r="G72" s="25">
        <f t="shared" si="21"/>
        <v>3.5860203695392556E-14</v>
      </c>
      <c r="H72" s="48"/>
      <c r="I72" s="48"/>
      <c r="J72" s="37">
        <v>4.8849813083506888E-14</v>
      </c>
      <c r="L72" s="7">
        <v>0.14000000000000001</v>
      </c>
      <c r="M72" s="8">
        <v>6.3500000000000001E-2</v>
      </c>
      <c r="N72" s="8">
        <f t="shared" si="17"/>
        <v>0.79649999999999999</v>
      </c>
      <c r="O72" s="1">
        <f>+G72/N72</f>
        <v>4.5022226861760902E-14</v>
      </c>
      <c r="P72" s="1">
        <f>+H72/O72</f>
        <v>0</v>
      </c>
      <c r="Q72" s="1">
        <f t="shared" si="18"/>
        <v>4.5022226861760902E-14</v>
      </c>
      <c r="R72" s="1">
        <f>+(O72-((+O72*L72)+(O72*M72)))-G72</f>
        <v>0</v>
      </c>
      <c r="S72" s="22">
        <f t="shared" si="20"/>
        <v>9.1620231663683455E-15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</row>
    <row r="73" spans="1:255" s="26" customFormat="1" ht="15.75" x14ac:dyDescent="0.3">
      <c r="A73" s="23" t="s">
        <v>80</v>
      </c>
      <c r="B73" s="24">
        <v>9</v>
      </c>
      <c r="C73" s="24">
        <v>10</v>
      </c>
      <c r="D73" s="20" t="s">
        <v>49</v>
      </c>
      <c r="E73" s="14">
        <v>1.8873791418627661E-15</v>
      </c>
      <c r="F73" s="14">
        <v>1.8873791418627661E-15</v>
      </c>
      <c r="G73" s="25">
        <f t="shared" si="21"/>
        <v>3.5860203695392556E-14</v>
      </c>
      <c r="H73" s="48"/>
      <c r="I73" s="48"/>
      <c r="J73" s="37">
        <v>4.8849813083506888E-14</v>
      </c>
      <c r="L73" s="7">
        <v>0.1</v>
      </c>
      <c r="M73" s="8">
        <v>6.3500000000000001E-2</v>
      </c>
      <c r="N73" s="8">
        <f t="shared" si="17"/>
        <v>0.83650000000000002</v>
      </c>
      <c r="O73" s="1">
        <f>+G73/N73</f>
        <v>4.2869340938903237E-14</v>
      </c>
      <c r="P73" s="1">
        <f>+H73/O73</f>
        <v>0</v>
      </c>
      <c r="Q73" s="1">
        <f t="shared" si="18"/>
        <v>4.2869340938903237E-14</v>
      </c>
      <c r="R73" s="1">
        <f>+(O73-((+O73*L73)+(O73*M73)))-G73</f>
        <v>0</v>
      </c>
      <c r="S73" s="22">
        <f t="shared" si="20"/>
        <v>7.0091372435106809E-15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</row>
    <row r="74" spans="1:255" s="26" customFormat="1" ht="15.75" x14ac:dyDescent="0.3">
      <c r="A74" s="23" t="s">
        <v>80</v>
      </c>
      <c r="B74" s="24">
        <v>9</v>
      </c>
      <c r="C74" s="24">
        <v>10</v>
      </c>
      <c r="D74" s="20" t="s">
        <v>74</v>
      </c>
      <c r="E74" s="14">
        <v>1.8873791418627661E-15</v>
      </c>
      <c r="F74" s="14">
        <v>1.8873791418627661E-15</v>
      </c>
      <c r="G74" s="25">
        <f t="shared" si="21"/>
        <v>3.5860203695392556E-14</v>
      </c>
      <c r="H74" s="48"/>
      <c r="I74" s="48"/>
      <c r="J74" s="37">
        <v>4.8849813083506888E-14</v>
      </c>
      <c r="L74" s="7">
        <v>0.02</v>
      </c>
      <c r="M74" s="8">
        <v>6.3500000000000001E-2</v>
      </c>
      <c r="N74" s="8">
        <f t="shared" si="17"/>
        <v>0.91649999999999998</v>
      </c>
      <c r="O74" s="1">
        <f>+G74/N74</f>
        <v>3.9127336274296295E-14</v>
      </c>
      <c r="P74" s="1">
        <f>+H74/O74</f>
        <v>0</v>
      </c>
      <c r="Q74" s="1">
        <f t="shared" si="18"/>
        <v>3.9127336274296295E-14</v>
      </c>
      <c r="R74" s="1">
        <f>+(O74-((+O74*L74)+(O74*M74)))-G74</f>
        <v>0</v>
      </c>
      <c r="S74" s="22">
        <f t="shared" si="20"/>
        <v>3.2671325789037392E-15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</row>
    <row r="75" spans="1:255" s="26" customFormat="1" ht="15.75" x14ac:dyDescent="0.3">
      <c r="A75" s="23" t="s">
        <v>80</v>
      </c>
      <c r="B75" s="24">
        <v>9</v>
      </c>
      <c r="C75" s="24">
        <v>10</v>
      </c>
      <c r="D75" s="20" t="s">
        <v>52</v>
      </c>
      <c r="E75" s="14">
        <v>1.8873791418627661E-15</v>
      </c>
      <c r="F75" s="14">
        <v>1.8873791418627661E-15</v>
      </c>
      <c r="G75" s="25">
        <f t="shared" si="21"/>
        <v>3.5860203695392556E-14</v>
      </c>
      <c r="H75" s="48"/>
      <c r="I75" s="48"/>
      <c r="J75" s="37">
        <v>4.8849813083506888E-14</v>
      </c>
      <c r="L75" s="7">
        <v>0.1</v>
      </c>
      <c r="M75" s="8">
        <v>6.3500000000000001E-2</v>
      </c>
      <c r="N75" s="8">
        <f t="shared" si="17"/>
        <v>0.83650000000000002</v>
      </c>
      <c r="O75" s="1">
        <f>+G75/N75</f>
        <v>4.2869340938903237E-14</v>
      </c>
      <c r="P75" s="1">
        <f>+H75/O75</f>
        <v>0</v>
      </c>
      <c r="Q75" s="1">
        <f t="shared" si="18"/>
        <v>4.2869340938903237E-14</v>
      </c>
      <c r="R75" s="1">
        <f>+(O75-((+O75*L75)+(O75*M75)))-G75</f>
        <v>0</v>
      </c>
      <c r="S75" s="22">
        <f t="shared" si="20"/>
        <v>7.0091372435106809E-15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</row>
    <row r="76" spans="1:255" s="26" customFormat="1" ht="15.75" x14ac:dyDescent="0.3">
      <c r="A76" s="23" t="s">
        <v>80</v>
      </c>
      <c r="B76" s="24">
        <v>9</v>
      </c>
      <c r="C76" s="24">
        <v>10</v>
      </c>
      <c r="D76" s="20" t="s">
        <v>71</v>
      </c>
      <c r="E76" s="14">
        <v>1.8873791418627661E-15</v>
      </c>
      <c r="F76" s="14">
        <v>1.8873791418627661E-15</v>
      </c>
      <c r="G76" s="25">
        <f t="shared" si="21"/>
        <v>3.5860203695392556E-14</v>
      </c>
      <c r="H76" s="54"/>
      <c r="I76" s="54"/>
      <c r="J76" s="37">
        <v>4.8849813083506888E-14</v>
      </c>
      <c r="L76" s="7">
        <v>0.02</v>
      </c>
      <c r="M76" s="8">
        <v>6.3500000000000001E-2</v>
      </c>
      <c r="N76" s="8">
        <f t="shared" si="17"/>
        <v>0.91649999999999998</v>
      </c>
      <c r="O76" s="1">
        <f t="shared" ref="O76" si="22">+G76/N76</f>
        <v>3.9127336274296295E-14</v>
      </c>
      <c r="P76" s="1">
        <f>+H76/O76</f>
        <v>0</v>
      </c>
      <c r="Q76" s="1">
        <f t="shared" ref="Q76" si="23">+O76-P76</f>
        <v>3.9127336274296295E-14</v>
      </c>
      <c r="R76" s="1">
        <f t="shared" ref="R76" si="24">+(O76-((+O76*L76)+(O76*M76)))-G76</f>
        <v>0</v>
      </c>
      <c r="S76" s="22">
        <f t="shared" ref="S76" si="25">+O76-G76</f>
        <v>3.2671325789037392E-15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</row>
    <row r="77" spans="1:255" s="26" customFormat="1" ht="15.75" x14ac:dyDescent="0.3">
      <c r="A77" s="23" t="s">
        <v>85</v>
      </c>
      <c r="B77" s="24">
        <v>9</v>
      </c>
      <c r="C77" s="24">
        <v>10</v>
      </c>
      <c r="D77" s="20" t="s">
        <v>86</v>
      </c>
      <c r="E77" s="14">
        <v>1.8873791418627661E-15</v>
      </c>
      <c r="F77" s="14">
        <v>1.8873791418627661E-15</v>
      </c>
      <c r="G77" s="25">
        <f t="shared" si="21"/>
        <v>3.5860203695392556E-14</v>
      </c>
      <c r="H77" s="54"/>
      <c r="I77" s="54"/>
      <c r="J77" s="37">
        <v>4.8849813083506888E-14</v>
      </c>
      <c r="L77" s="7">
        <v>0.02</v>
      </c>
      <c r="M77" s="8">
        <v>6.3500000000000001E-2</v>
      </c>
      <c r="N77" s="8">
        <f t="shared" si="17"/>
        <v>0.91649999999999998</v>
      </c>
      <c r="O77" s="1">
        <f>+G77/N77</f>
        <v>3.9127336274296295E-14</v>
      </c>
      <c r="P77" s="1">
        <f>+H77/O77</f>
        <v>0</v>
      </c>
      <c r="Q77" s="1">
        <f>+O77-P77</f>
        <v>3.9127336274296295E-14</v>
      </c>
      <c r="R77" s="1">
        <f>+(O77-((+O77*L77)+(O77*M77)))-G77</f>
        <v>0</v>
      </c>
      <c r="S77" s="22">
        <f>+O77-G77</f>
        <v>3.2671325789037392E-15</v>
      </c>
    </row>
    <row r="81" spans="1:255" x14ac:dyDescent="0.25">
      <c r="C81" s="39"/>
      <c r="D81" s="40"/>
    </row>
    <row r="82" spans="1:255" x14ac:dyDescent="0.25">
      <c r="C82" s="29"/>
      <c r="D82" s="30"/>
    </row>
    <row r="83" spans="1:255" s="27" customFormat="1" ht="15.75" x14ac:dyDescent="0.25">
      <c r="A83" s="15"/>
      <c r="B83" s="16"/>
      <c r="C83" s="29"/>
      <c r="D83" s="44"/>
      <c r="G83" s="18"/>
      <c r="H83" s="49"/>
      <c r="I83" s="49"/>
    </row>
    <row r="84" spans="1:255" s="27" customFormat="1" ht="15.75" x14ac:dyDescent="0.25">
      <c r="A84" s="15"/>
      <c r="B84" s="16"/>
      <c r="C84" s="16"/>
      <c r="D84" s="17"/>
      <c r="G84" s="18"/>
      <c r="H84" s="49"/>
      <c r="I84" s="49"/>
    </row>
    <row r="85" spans="1:255" ht="15.75" x14ac:dyDescent="0.25">
      <c r="A85" s="15"/>
      <c r="B85" s="16"/>
      <c r="C85" s="39"/>
      <c r="D85" s="40"/>
      <c r="G85" s="18"/>
    </row>
    <row r="86" spans="1:255" ht="15.75" x14ac:dyDescent="0.25">
      <c r="A86" s="15"/>
      <c r="B86" s="16"/>
      <c r="C86" s="29"/>
      <c r="D86" s="30"/>
      <c r="G86" s="18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</row>
    <row r="87" spans="1:255" ht="15.75" x14ac:dyDescent="0.25">
      <c r="A87" s="15"/>
      <c r="B87" s="16"/>
      <c r="C87" s="29"/>
      <c r="D87" s="41"/>
      <c r="E87" s="19"/>
      <c r="F87" s="19"/>
      <c r="G87" s="18"/>
      <c r="H87" s="51"/>
      <c r="I87" s="51"/>
      <c r="J87" s="13"/>
      <c r="L87" s="13"/>
      <c r="M87" s="13"/>
      <c r="N87" s="13"/>
      <c r="O87" s="13"/>
      <c r="P87" s="13"/>
      <c r="Q87" s="13"/>
      <c r="R87" s="13"/>
      <c r="S87" s="13"/>
    </row>
    <row r="88" spans="1:255" ht="15.75" x14ac:dyDescent="0.25">
      <c r="A88" s="15"/>
      <c r="B88" s="16"/>
      <c r="C88" s="29"/>
      <c r="D88" s="30"/>
      <c r="G88" s="18"/>
    </row>
    <row r="89" spans="1:255" ht="15.75" x14ac:dyDescent="0.25">
      <c r="A89" s="15"/>
      <c r="B89" s="16"/>
      <c r="C89" s="16"/>
      <c r="D89" s="17"/>
      <c r="G89" s="18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</row>
    <row r="90" spans="1:255" ht="15.75" x14ac:dyDescent="0.25">
      <c r="A90" s="15"/>
      <c r="B90" s="16"/>
      <c r="C90" s="16"/>
      <c r="D90" s="17"/>
      <c r="E90" s="12"/>
      <c r="F90" s="12"/>
      <c r="G90" s="18"/>
      <c r="H90" s="48"/>
      <c r="I90" s="48"/>
      <c r="J90" s="9"/>
      <c r="L90" s="9"/>
      <c r="M90" s="9"/>
      <c r="N90" s="9"/>
      <c r="O90" s="9"/>
      <c r="P90" s="9"/>
      <c r="Q90" s="9"/>
      <c r="R90" s="9"/>
      <c r="S90" s="9"/>
    </row>
    <row r="91" spans="1:255" ht="15.75" x14ac:dyDescent="0.25">
      <c r="A91" s="15"/>
      <c r="B91" s="16"/>
      <c r="C91" s="16"/>
      <c r="D91" s="17"/>
      <c r="G91" s="1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</row>
    <row r="92" spans="1:255" ht="15.75" x14ac:dyDescent="0.25">
      <c r="A92" s="15"/>
      <c r="B92" s="16"/>
      <c r="C92" s="16"/>
      <c r="D92" s="17"/>
      <c r="E92" s="12"/>
      <c r="F92" s="12"/>
      <c r="G92" s="18"/>
      <c r="H92" s="48"/>
      <c r="I92" s="48"/>
      <c r="J92" s="9"/>
      <c r="L92" s="9"/>
      <c r="M92" s="9"/>
      <c r="N92" s="9"/>
      <c r="O92" s="9"/>
      <c r="P92" s="9"/>
      <c r="Q92" s="9"/>
      <c r="R92" s="9"/>
      <c r="S92" s="9"/>
    </row>
    <row r="93" spans="1:255" ht="15.75" x14ac:dyDescent="0.25">
      <c r="A93" s="15"/>
      <c r="B93" s="16"/>
      <c r="C93" s="16"/>
      <c r="D93" s="17"/>
      <c r="G93" s="18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</row>
    <row r="94" spans="1:255" ht="15.75" x14ac:dyDescent="0.25">
      <c r="A94" s="15"/>
      <c r="B94" s="16"/>
      <c r="C94" s="16"/>
      <c r="D94" s="17"/>
      <c r="E94" s="12"/>
      <c r="F94" s="12"/>
      <c r="G94" s="18"/>
      <c r="H94" s="48"/>
      <c r="I94" s="48"/>
      <c r="J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</row>
    <row r="95" spans="1:255" ht="15.75" x14ac:dyDescent="0.25">
      <c r="A95" s="15"/>
      <c r="B95" s="16"/>
      <c r="C95" s="16"/>
      <c r="D95" s="17"/>
      <c r="E95" s="12"/>
      <c r="F95" s="12"/>
      <c r="G95" s="18"/>
      <c r="H95" s="48"/>
      <c r="I95" s="48"/>
      <c r="J95" s="9"/>
      <c r="L95" s="9"/>
      <c r="M95" s="9"/>
      <c r="N95" s="9"/>
      <c r="O95" s="9"/>
      <c r="P95" s="9"/>
      <c r="Q95" s="9"/>
      <c r="R95" s="9"/>
      <c r="S95" s="9"/>
    </row>
    <row r="96" spans="1:255" ht="15.75" x14ac:dyDescent="0.25">
      <c r="A96" s="15"/>
      <c r="B96" s="16"/>
      <c r="C96" s="16"/>
      <c r="D96" s="17"/>
      <c r="G96" s="18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</row>
    <row r="97" spans="1:255" ht="15.75" x14ac:dyDescent="0.25">
      <c r="A97" s="15"/>
      <c r="B97" s="16"/>
      <c r="C97" s="16"/>
      <c r="D97" s="17"/>
      <c r="E97" s="12"/>
      <c r="F97" s="12"/>
      <c r="G97" s="18"/>
      <c r="H97" s="48"/>
      <c r="I97" s="48"/>
      <c r="J97" s="9"/>
      <c r="L97" s="9"/>
      <c r="M97" s="9"/>
      <c r="N97" s="9"/>
      <c r="O97" s="9"/>
      <c r="P97" s="9"/>
      <c r="Q97" s="9"/>
      <c r="R97" s="9"/>
      <c r="S97" s="9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</row>
    <row r="98" spans="1:255" ht="15.75" x14ac:dyDescent="0.25">
      <c r="A98" s="15"/>
      <c r="B98" s="16"/>
      <c r="C98" s="16"/>
      <c r="D98" s="17"/>
      <c r="E98" s="19"/>
      <c r="F98" s="19"/>
      <c r="G98" s="18"/>
      <c r="H98" s="51"/>
      <c r="I98" s="51"/>
      <c r="J98" s="13"/>
      <c r="L98" s="13"/>
      <c r="M98" s="13"/>
      <c r="N98" s="13"/>
      <c r="O98" s="13"/>
      <c r="P98" s="13"/>
      <c r="Q98" s="13"/>
      <c r="R98" s="13"/>
      <c r="S98" s="13"/>
    </row>
    <row r="99" spans="1:255" ht="15.75" x14ac:dyDescent="0.25">
      <c r="A99" s="15"/>
      <c r="B99" s="16"/>
      <c r="C99" s="16"/>
      <c r="D99" s="17"/>
      <c r="G99" s="18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</row>
    <row r="100" spans="1:255" ht="15.75" x14ac:dyDescent="0.25">
      <c r="A100" s="15"/>
      <c r="B100" s="16"/>
      <c r="C100" s="16"/>
      <c r="D100" s="17"/>
      <c r="E100" s="12"/>
      <c r="F100" s="12"/>
      <c r="G100" s="18"/>
      <c r="H100" s="48"/>
      <c r="I100" s="48"/>
      <c r="J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</row>
    <row r="101" spans="1:255" ht="15.75" x14ac:dyDescent="0.25">
      <c r="A101" s="15"/>
      <c r="B101" s="16"/>
      <c r="C101" s="16"/>
      <c r="D101" s="17"/>
      <c r="E101" s="12"/>
      <c r="F101" s="12"/>
      <c r="G101" s="18"/>
      <c r="H101" s="48"/>
      <c r="I101" s="48"/>
      <c r="J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</row>
    <row r="102" spans="1:255" ht="15.75" x14ac:dyDescent="0.25">
      <c r="A102" s="15"/>
      <c r="B102" s="16"/>
      <c r="C102" s="16"/>
      <c r="D102" s="17"/>
      <c r="E102" s="12"/>
      <c r="F102" s="12"/>
      <c r="G102" s="18"/>
      <c r="H102" s="48"/>
      <c r="I102" s="48"/>
      <c r="J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</row>
    <row r="103" spans="1:255" ht="15.75" x14ac:dyDescent="0.25">
      <c r="A103" s="15"/>
      <c r="B103" s="16"/>
      <c r="C103" s="16"/>
      <c r="D103" s="17"/>
      <c r="E103" s="12"/>
      <c r="F103" s="12"/>
      <c r="G103" s="18"/>
      <c r="H103" s="48"/>
      <c r="I103" s="48"/>
      <c r="J103" s="9"/>
      <c r="L103" s="9"/>
      <c r="M103" s="9"/>
      <c r="N103" s="9"/>
      <c r="O103" s="9"/>
      <c r="P103" s="9"/>
      <c r="Q103" s="9"/>
      <c r="R103" s="9"/>
      <c r="S103" s="9"/>
    </row>
    <row r="104" spans="1:255" ht="15.75" x14ac:dyDescent="0.25">
      <c r="A104" s="15"/>
      <c r="B104" s="16"/>
      <c r="C104" s="16"/>
      <c r="D104" s="17"/>
      <c r="G104" s="18"/>
    </row>
    <row r="105" spans="1:255" ht="15.75" x14ac:dyDescent="0.25">
      <c r="A105" s="15"/>
      <c r="B105" s="16"/>
      <c r="C105" s="16"/>
      <c r="D105" s="17"/>
      <c r="G105" s="1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</row>
    <row r="106" spans="1:255" ht="15.75" x14ac:dyDescent="0.25">
      <c r="A106" s="15"/>
      <c r="B106" s="16"/>
      <c r="C106" s="16"/>
      <c r="D106" s="17"/>
      <c r="E106" s="12"/>
      <c r="F106" s="12"/>
      <c r="G106" s="18"/>
      <c r="H106" s="48"/>
      <c r="I106" s="48"/>
      <c r="J106" s="9"/>
      <c r="L106" s="9"/>
      <c r="M106" s="9"/>
      <c r="N106" s="9"/>
      <c r="O106" s="9"/>
      <c r="P106" s="9"/>
      <c r="Q106" s="9"/>
      <c r="R106" s="9"/>
      <c r="S106" s="9"/>
    </row>
    <row r="107" spans="1:255" ht="15.75" x14ac:dyDescent="0.25">
      <c r="A107" s="15"/>
      <c r="B107" s="16"/>
      <c r="C107" s="16"/>
      <c r="D107" s="17"/>
      <c r="G107" s="18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</row>
    <row r="108" spans="1:255" ht="15.75" x14ac:dyDescent="0.25">
      <c r="A108" s="15"/>
      <c r="B108" s="16"/>
      <c r="C108" s="16"/>
      <c r="D108" s="17"/>
      <c r="E108" s="12"/>
      <c r="F108" s="12"/>
      <c r="G108" s="18"/>
      <c r="H108" s="48"/>
      <c r="I108" s="48"/>
      <c r="J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</row>
    <row r="109" spans="1:255" ht="15.75" x14ac:dyDescent="0.25">
      <c r="A109" s="15"/>
      <c r="B109" s="16"/>
      <c r="C109" s="16"/>
      <c r="D109" s="17"/>
      <c r="E109" s="12"/>
      <c r="F109" s="12"/>
      <c r="G109" s="18"/>
      <c r="H109" s="48"/>
      <c r="I109" s="48"/>
      <c r="J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</row>
    <row r="110" spans="1:255" ht="15.75" x14ac:dyDescent="0.25">
      <c r="A110" s="15"/>
      <c r="B110" s="16"/>
      <c r="C110" s="16"/>
      <c r="D110" s="17"/>
      <c r="E110" s="12"/>
      <c r="F110" s="12"/>
      <c r="G110" s="18"/>
      <c r="H110" s="48"/>
      <c r="I110" s="48"/>
      <c r="J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</row>
    <row r="111" spans="1:255" ht="15.75" x14ac:dyDescent="0.25">
      <c r="A111" s="15"/>
      <c r="B111" s="16"/>
      <c r="C111" s="16"/>
      <c r="D111" s="17"/>
      <c r="E111" s="12"/>
      <c r="F111" s="12"/>
      <c r="G111" s="18"/>
      <c r="H111" s="48"/>
      <c r="I111" s="48"/>
      <c r="J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</row>
    <row r="112" spans="1:255" ht="15.75" x14ac:dyDescent="0.25">
      <c r="A112" s="15"/>
      <c r="B112" s="16"/>
      <c r="C112" s="16"/>
      <c r="D112" s="17"/>
      <c r="E112" s="12"/>
      <c r="F112" s="12"/>
      <c r="G112" s="18"/>
      <c r="H112" s="48"/>
      <c r="I112" s="48"/>
      <c r="J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</row>
    <row r="113" spans="1:255" ht="15.75" x14ac:dyDescent="0.25">
      <c r="A113" s="15"/>
      <c r="B113" s="16"/>
      <c r="C113" s="16"/>
      <c r="D113" s="17"/>
      <c r="E113" s="12"/>
      <c r="F113" s="12"/>
      <c r="G113" s="18"/>
      <c r="H113" s="48"/>
      <c r="I113" s="48"/>
      <c r="J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</row>
    <row r="114" spans="1:255" ht="15.75" x14ac:dyDescent="0.25">
      <c r="A114" s="15"/>
      <c r="B114" s="16"/>
      <c r="C114" s="16"/>
      <c r="D114" s="17"/>
      <c r="E114" s="12"/>
      <c r="F114" s="12"/>
      <c r="G114" s="18"/>
      <c r="H114" s="48"/>
      <c r="I114" s="48"/>
      <c r="J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</row>
    <row r="115" spans="1:255" ht="15.75" x14ac:dyDescent="0.25">
      <c r="A115" s="15"/>
      <c r="B115" s="16"/>
      <c r="C115" s="16"/>
      <c r="D115" s="17"/>
      <c r="E115" s="12"/>
      <c r="F115" s="12"/>
      <c r="G115" s="18"/>
      <c r="H115" s="48"/>
      <c r="I115" s="48"/>
      <c r="J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</row>
    <row r="116" spans="1:255" ht="15.75" x14ac:dyDescent="0.25">
      <c r="A116" s="15"/>
      <c r="B116" s="16"/>
      <c r="C116" s="16"/>
      <c r="D116" s="17"/>
      <c r="E116" s="12"/>
      <c r="F116" s="12"/>
      <c r="G116" s="18"/>
      <c r="H116" s="48"/>
      <c r="I116" s="48"/>
      <c r="J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</row>
    <row r="117" spans="1:255" ht="15.75" x14ac:dyDescent="0.25">
      <c r="A117" s="15"/>
      <c r="B117" s="16"/>
      <c r="C117" s="16"/>
      <c r="D117" s="17"/>
      <c r="E117" s="12"/>
      <c r="F117" s="12"/>
      <c r="G117" s="18"/>
      <c r="H117" s="48"/>
      <c r="I117" s="48"/>
      <c r="J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</row>
    <row r="118" spans="1:255" ht="15.75" x14ac:dyDescent="0.25">
      <c r="A118" s="15"/>
      <c r="B118" s="16"/>
      <c r="C118" s="16"/>
      <c r="D118" s="17"/>
      <c r="E118" s="12"/>
      <c r="F118" s="12"/>
      <c r="G118" s="18"/>
      <c r="H118" s="48"/>
      <c r="I118" s="48"/>
      <c r="J118" s="9"/>
      <c r="L118" s="9"/>
      <c r="M118" s="9"/>
      <c r="N118" s="9"/>
      <c r="O118" s="9"/>
      <c r="P118" s="9"/>
      <c r="Q118" s="9"/>
      <c r="R118" s="9"/>
      <c r="S118" s="9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</row>
    <row r="119" spans="1:255" ht="15.75" x14ac:dyDescent="0.25">
      <c r="A119" s="15"/>
      <c r="B119" s="16"/>
      <c r="C119" s="16"/>
      <c r="D119" s="17"/>
      <c r="E119" s="19"/>
      <c r="F119" s="19"/>
      <c r="G119" s="18"/>
      <c r="H119" s="51"/>
      <c r="I119" s="51"/>
      <c r="J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</row>
    <row r="120" spans="1:255" ht="15.75" x14ac:dyDescent="0.25">
      <c r="A120" s="15"/>
      <c r="B120" s="16"/>
      <c r="C120" s="16"/>
      <c r="D120" s="17"/>
      <c r="E120" s="19"/>
      <c r="F120" s="19"/>
      <c r="G120" s="18"/>
      <c r="H120" s="51"/>
      <c r="I120" s="51"/>
      <c r="J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</row>
    <row r="121" spans="1:255" ht="15.75" x14ac:dyDescent="0.25">
      <c r="A121" s="15"/>
      <c r="B121" s="16"/>
      <c r="C121" s="16"/>
      <c r="D121" s="17"/>
      <c r="E121" s="19"/>
      <c r="F121" s="19"/>
      <c r="G121" s="18"/>
      <c r="H121" s="51"/>
      <c r="I121" s="51"/>
      <c r="J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</row>
    <row r="122" spans="1:255" ht="15.75" x14ac:dyDescent="0.25">
      <c r="A122" s="15"/>
      <c r="B122" s="16"/>
      <c r="C122" s="16"/>
      <c r="D122" s="17"/>
      <c r="E122" s="19"/>
      <c r="F122" s="19"/>
      <c r="G122" s="18"/>
      <c r="H122" s="51"/>
      <c r="I122" s="51"/>
      <c r="J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</row>
    <row r="123" spans="1:255" ht="15.75" x14ac:dyDescent="0.25">
      <c r="A123" s="15"/>
      <c r="B123" s="16"/>
      <c r="C123" s="16"/>
      <c r="D123" s="17"/>
      <c r="E123" s="19"/>
      <c r="F123" s="19"/>
      <c r="G123" s="18"/>
      <c r="H123" s="51"/>
      <c r="I123" s="51"/>
      <c r="J123" s="13"/>
      <c r="L123" s="13"/>
      <c r="M123" s="13"/>
      <c r="N123" s="13"/>
      <c r="O123" s="13"/>
      <c r="P123" s="13"/>
      <c r="Q123" s="13"/>
      <c r="R123" s="13"/>
      <c r="S123" s="13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</row>
    <row r="124" spans="1:255" ht="15.75" x14ac:dyDescent="0.25">
      <c r="A124" s="15"/>
      <c r="B124" s="16"/>
      <c r="C124" s="16"/>
      <c r="D124" s="17"/>
      <c r="E124" s="12"/>
      <c r="F124" s="12"/>
      <c r="G124" s="18"/>
      <c r="H124" s="48"/>
      <c r="I124" s="48"/>
      <c r="J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</row>
    <row r="125" spans="1:255" ht="15.75" x14ac:dyDescent="0.25">
      <c r="A125" s="15"/>
      <c r="B125" s="16"/>
      <c r="C125" s="16"/>
      <c r="D125" s="17"/>
      <c r="E125" s="12"/>
      <c r="F125" s="12"/>
      <c r="G125" s="18"/>
      <c r="H125" s="48"/>
      <c r="I125" s="48"/>
      <c r="J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</row>
    <row r="126" spans="1:255" ht="15.75" x14ac:dyDescent="0.25">
      <c r="A126" s="15"/>
      <c r="B126" s="16"/>
      <c r="C126" s="16"/>
      <c r="D126" s="17"/>
      <c r="E126" s="12"/>
      <c r="F126" s="12"/>
      <c r="G126" s="18"/>
      <c r="H126" s="48"/>
      <c r="I126" s="48"/>
      <c r="J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</row>
    <row r="127" spans="1:255" ht="15.75" x14ac:dyDescent="0.25">
      <c r="A127" s="15"/>
      <c r="B127" s="16"/>
      <c r="C127" s="16"/>
      <c r="D127" s="17"/>
      <c r="E127" s="12"/>
      <c r="F127" s="12"/>
      <c r="G127" s="18"/>
      <c r="H127" s="48"/>
      <c r="I127" s="48"/>
      <c r="J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</row>
    <row r="128" spans="1:255" ht="15.75" x14ac:dyDescent="0.25">
      <c r="A128" s="15"/>
      <c r="B128" s="16"/>
      <c r="C128" s="16"/>
      <c r="D128" s="17"/>
      <c r="E128" s="12"/>
      <c r="F128" s="12"/>
      <c r="G128" s="18"/>
      <c r="H128" s="48"/>
      <c r="I128" s="48"/>
      <c r="J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</row>
    <row r="129" spans="1:255" ht="15.75" x14ac:dyDescent="0.25">
      <c r="A129" s="15"/>
      <c r="B129" s="16"/>
      <c r="C129" s="16"/>
      <c r="D129" s="17"/>
      <c r="E129" s="12"/>
      <c r="F129" s="12"/>
      <c r="G129" s="18"/>
      <c r="H129" s="48"/>
      <c r="I129" s="48"/>
      <c r="J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</row>
    <row r="130" spans="1:255" ht="15.75" x14ac:dyDescent="0.25">
      <c r="A130" s="15"/>
      <c r="B130" s="16"/>
      <c r="C130" s="16"/>
      <c r="D130" s="17"/>
      <c r="E130" s="12"/>
      <c r="F130" s="12"/>
      <c r="G130" s="18"/>
      <c r="H130" s="48"/>
      <c r="I130" s="48"/>
      <c r="J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</row>
    <row r="131" spans="1:255" ht="15.75" x14ac:dyDescent="0.25">
      <c r="A131" s="15"/>
      <c r="B131" s="16"/>
      <c r="C131" s="16"/>
      <c r="D131" s="17"/>
      <c r="E131" s="12"/>
      <c r="F131" s="12"/>
      <c r="G131" s="18"/>
      <c r="H131" s="48"/>
      <c r="I131" s="48"/>
      <c r="J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</row>
    <row r="132" spans="1:255" ht="15.75" x14ac:dyDescent="0.25">
      <c r="A132" s="15"/>
      <c r="B132" s="16"/>
      <c r="C132" s="16"/>
      <c r="D132" s="17"/>
      <c r="E132" s="12"/>
      <c r="F132" s="12"/>
      <c r="G132" s="18"/>
      <c r="H132" s="48"/>
      <c r="I132" s="48"/>
      <c r="J132" s="9"/>
      <c r="L132" s="9"/>
      <c r="M132" s="9"/>
      <c r="N132" s="9"/>
      <c r="O132" s="9"/>
      <c r="P132" s="9"/>
      <c r="Q132" s="9"/>
      <c r="R132" s="9"/>
      <c r="S132" s="9"/>
    </row>
    <row r="133" spans="1:255" ht="15.75" x14ac:dyDescent="0.25">
      <c r="A133" s="15"/>
      <c r="B133" s="16"/>
      <c r="C133" s="16"/>
      <c r="D133" s="17"/>
      <c r="G133" s="18"/>
    </row>
    <row r="134" spans="1:255" ht="15.75" x14ac:dyDescent="0.25">
      <c r="A134" s="15"/>
      <c r="B134" s="16"/>
      <c r="C134" s="16"/>
      <c r="D134" s="17"/>
      <c r="G134" s="1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</row>
    <row r="135" spans="1:255" ht="15.75" x14ac:dyDescent="0.25">
      <c r="A135" s="15"/>
      <c r="B135" s="16"/>
      <c r="C135" s="16"/>
      <c r="D135" s="17"/>
      <c r="E135" s="12"/>
      <c r="F135" s="12"/>
      <c r="G135" s="18"/>
      <c r="H135" s="48"/>
      <c r="I135" s="48"/>
      <c r="J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</row>
    <row r="136" spans="1:255" ht="15.75" x14ac:dyDescent="0.25">
      <c r="A136" s="15"/>
      <c r="B136" s="16"/>
      <c r="C136" s="16"/>
      <c r="D136" s="17"/>
      <c r="E136" s="12"/>
      <c r="F136" s="12"/>
      <c r="G136" s="18"/>
      <c r="H136" s="48"/>
      <c r="I136" s="48"/>
      <c r="J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</row>
    <row r="137" spans="1:255" ht="15.75" x14ac:dyDescent="0.25">
      <c r="A137" s="15"/>
      <c r="B137" s="16"/>
      <c r="C137" s="16"/>
      <c r="D137" s="17"/>
      <c r="E137" s="12"/>
      <c r="F137" s="12"/>
      <c r="G137" s="18"/>
      <c r="H137" s="48"/>
      <c r="I137" s="48"/>
      <c r="J137" s="9"/>
      <c r="L137" s="9"/>
      <c r="M137" s="9"/>
      <c r="N137" s="9"/>
      <c r="O137" s="9"/>
      <c r="P137" s="9"/>
      <c r="Q137" s="9"/>
      <c r="R137" s="9"/>
      <c r="S137" s="9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</row>
    <row r="138" spans="1:255" ht="15.75" x14ac:dyDescent="0.25">
      <c r="A138" s="15"/>
      <c r="B138" s="16"/>
      <c r="C138" s="16"/>
      <c r="D138" s="17"/>
      <c r="E138" s="19"/>
      <c r="F138" s="19"/>
      <c r="G138" s="18"/>
      <c r="H138" s="51"/>
      <c r="I138" s="51"/>
      <c r="J138" s="13"/>
      <c r="L138" s="13"/>
      <c r="M138" s="13"/>
      <c r="N138" s="13"/>
      <c r="O138" s="13"/>
      <c r="P138" s="13"/>
      <c r="Q138" s="13"/>
      <c r="R138" s="13"/>
      <c r="S138" s="13"/>
    </row>
    <row r="139" spans="1:255" ht="15.75" x14ac:dyDescent="0.25">
      <c r="A139" s="15"/>
      <c r="B139" s="16"/>
      <c r="C139" s="16"/>
      <c r="D139" s="17"/>
      <c r="G139" s="1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</row>
    <row r="140" spans="1:255" ht="15.75" x14ac:dyDescent="0.25">
      <c r="A140" s="15"/>
      <c r="B140" s="16"/>
      <c r="C140" s="16"/>
      <c r="D140" s="17"/>
      <c r="E140" s="12"/>
      <c r="F140" s="12"/>
      <c r="G140" s="18"/>
      <c r="H140" s="48"/>
      <c r="I140" s="48"/>
      <c r="J140" s="9"/>
      <c r="L140" s="9"/>
      <c r="M140" s="9"/>
      <c r="N140" s="9"/>
      <c r="O140" s="9"/>
      <c r="P140" s="9"/>
      <c r="Q140" s="9"/>
      <c r="R140" s="9"/>
      <c r="S140" s="9"/>
    </row>
    <row r="141" spans="1:255" ht="15.75" x14ac:dyDescent="0.25">
      <c r="A141" s="15"/>
      <c r="B141" s="16"/>
      <c r="C141" s="16"/>
      <c r="D141" s="17"/>
      <c r="G141" s="18"/>
    </row>
    <row r="142" spans="1:255" ht="15.75" x14ac:dyDescent="0.25">
      <c r="A142" s="15"/>
      <c r="B142" s="16"/>
      <c r="C142" s="16"/>
      <c r="D142" s="17"/>
      <c r="G142" s="18"/>
    </row>
    <row r="143" spans="1:255" ht="15.75" x14ac:dyDescent="0.25">
      <c r="A143" s="15"/>
      <c r="B143" s="16"/>
      <c r="C143" s="16"/>
      <c r="D143" s="17"/>
      <c r="G143" s="18"/>
    </row>
    <row r="144" spans="1:255" ht="15.75" x14ac:dyDescent="0.25">
      <c r="A144" s="15"/>
      <c r="B144" s="16"/>
      <c r="C144" s="16"/>
      <c r="D144" s="17"/>
      <c r="G144" s="18"/>
    </row>
    <row r="145" spans="1:7" ht="15.75" x14ac:dyDescent="0.25">
      <c r="A145" s="15"/>
      <c r="B145" s="16"/>
      <c r="C145" s="16"/>
      <c r="D145" s="17"/>
      <c r="G145" s="18"/>
    </row>
    <row r="146" spans="1:7" ht="15.75" x14ac:dyDescent="0.25">
      <c r="A146" s="15"/>
      <c r="B146" s="16"/>
      <c r="C146" s="16"/>
      <c r="D146" s="17"/>
      <c r="G146" s="18"/>
    </row>
    <row r="147" spans="1:7" ht="15.75" x14ac:dyDescent="0.25">
      <c r="A147" s="15"/>
      <c r="B147" s="16"/>
      <c r="C147" s="16"/>
      <c r="D147" s="17"/>
      <c r="G147" s="18"/>
    </row>
    <row r="148" spans="1:7" ht="15.75" x14ac:dyDescent="0.25">
      <c r="A148" s="15"/>
      <c r="B148" s="16"/>
      <c r="C148" s="16"/>
      <c r="D148" s="17"/>
      <c r="G148" s="18"/>
    </row>
    <row r="149" spans="1:7" ht="15.75" x14ac:dyDescent="0.25">
      <c r="A149" s="15"/>
      <c r="B149" s="16"/>
      <c r="C149" s="16"/>
      <c r="D149" s="17"/>
      <c r="G149" s="18"/>
    </row>
    <row r="150" spans="1:7" ht="15.75" x14ac:dyDescent="0.25">
      <c r="A150" s="15"/>
      <c r="B150" s="16"/>
      <c r="C150" s="16"/>
      <c r="D150" s="17"/>
      <c r="G150" s="18"/>
    </row>
    <row r="151" spans="1:7" ht="15.75" x14ac:dyDescent="0.25">
      <c r="A151" s="15"/>
      <c r="B151" s="16"/>
      <c r="C151" s="16"/>
      <c r="D151" s="17"/>
      <c r="G151" s="18"/>
    </row>
    <row r="152" spans="1:7" ht="15.75" x14ac:dyDescent="0.25">
      <c r="A152" s="15"/>
      <c r="B152" s="16"/>
      <c r="C152" s="16"/>
      <c r="D152" s="17"/>
      <c r="G152" s="18"/>
    </row>
    <row r="153" spans="1:7" ht="15.75" x14ac:dyDescent="0.25">
      <c r="A153" s="15"/>
      <c r="B153" s="16"/>
      <c r="C153" s="16"/>
      <c r="D153" s="17"/>
      <c r="G153" s="18"/>
    </row>
    <row r="154" spans="1:7" ht="15.75" x14ac:dyDescent="0.25">
      <c r="A154" s="15"/>
      <c r="B154" s="16"/>
      <c r="C154" s="16"/>
      <c r="D154" s="17"/>
      <c r="G154" s="18"/>
    </row>
    <row r="155" spans="1:7" ht="15.75" x14ac:dyDescent="0.25">
      <c r="A155" s="15"/>
      <c r="B155" s="16"/>
      <c r="C155" s="16"/>
      <c r="D155" s="17"/>
      <c r="G155" s="18"/>
    </row>
    <row r="156" spans="1:7" ht="15.75" x14ac:dyDescent="0.25">
      <c r="A156" s="15"/>
      <c r="B156" s="16"/>
      <c r="C156" s="16"/>
      <c r="D156" s="17"/>
      <c r="G156" s="18"/>
    </row>
    <row r="157" spans="1:7" ht="15.75" x14ac:dyDescent="0.25">
      <c r="A157" s="15"/>
      <c r="B157" s="16"/>
      <c r="C157" s="16"/>
      <c r="D157" s="17"/>
      <c r="G157" s="18"/>
    </row>
    <row r="158" spans="1:7" ht="15.75" x14ac:dyDescent="0.25">
      <c r="A158" s="15"/>
      <c r="B158" s="16"/>
      <c r="C158" s="16"/>
      <c r="D158" s="17"/>
      <c r="G158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</dc:creator>
  <cp:lastModifiedBy>Mirian Gicela · Decoraciones Egea</cp:lastModifiedBy>
  <dcterms:created xsi:type="dcterms:W3CDTF">2026-02-04T11:11:55Z</dcterms:created>
  <dcterms:modified xsi:type="dcterms:W3CDTF">2026-07-23T09:30:21Z</dcterms:modified>
</cp:coreProperties>
</file>