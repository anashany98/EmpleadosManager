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U:\DECORACIONES EGEA, SL\INCIDENCIAS NOMINAS\CONTROL DE HORARIO\2026 CONTROL HORARIO\"/>
    </mc:Choice>
  </mc:AlternateContent>
  <xr:revisionPtr revIDLastSave="0" documentId="13_ncr:1_{50356E8B-0AF5-4E6D-AEE8-01F8CD3E1A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IEMBRE 2025" sheetId="1" r:id="rId1"/>
    <sheet name="ENERO" sheetId="2" r:id="rId2"/>
    <sheet name="FEBRERO" sheetId="3" r:id="rId3"/>
    <sheet name="MARZO" sheetId="4" r:id="rId4"/>
    <sheet name="ABRIL" sheetId="5" r:id="rId5"/>
    <sheet name="MAYO" sheetId="6" r:id="rId6"/>
    <sheet name="JUNIO" sheetId="7" r:id="rId7"/>
    <sheet name="JULIO" sheetId="8" r:id="rId8"/>
    <sheet name="AGOSTO" sheetId="9" r:id="rId9"/>
    <sheet name="SEPTIEMBRE" sheetId="10" r:id="rId10"/>
    <sheet name="OCTUBRE" sheetId="11" r:id="rId11"/>
    <sheet name="NOVIEMBRE" sheetId="12" r:id="rId12"/>
    <sheet name="DICIEMBRE" sheetId="13" r:id="rId13"/>
    <sheet name="FESTIVOS" sheetId="14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6" i="13" l="1"/>
  <c r="I36" i="13"/>
  <c r="H36" i="13"/>
  <c r="G36" i="13"/>
  <c r="J36" i="13" s="1"/>
  <c r="K35" i="13"/>
  <c r="I35" i="13"/>
  <c r="H35" i="13"/>
  <c r="G35" i="13"/>
  <c r="J35" i="13" s="1"/>
  <c r="K34" i="13"/>
  <c r="I34" i="13"/>
  <c r="H34" i="13"/>
  <c r="G34" i="13"/>
  <c r="J34" i="13" s="1"/>
  <c r="K33" i="13"/>
  <c r="I33" i="13"/>
  <c r="H33" i="13"/>
  <c r="G33" i="13"/>
  <c r="J33" i="13" s="1"/>
  <c r="J32" i="13"/>
  <c r="I32" i="13"/>
  <c r="H32" i="13"/>
  <c r="G32" i="13"/>
  <c r="K32" i="13" s="1"/>
  <c r="J31" i="13"/>
  <c r="I31" i="13"/>
  <c r="H31" i="13"/>
  <c r="G31" i="13"/>
  <c r="K31" i="13" s="1"/>
  <c r="J30" i="13"/>
  <c r="I30" i="13"/>
  <c r="H30" i="13"/>
  <c r="G30" i="13"/>
  <c r="K30" i="13" s="1"/>
  <c r="K29" i="13"/>
  <c r="I29" i="13"/>
  <c r="H29" i="13"/>
  <c r="G29" i="13"/>
  <c r="J29" i="13" s="1"/>
  <c r="K28" i="13"/>
  <c r="I28" i="13"/>
  <c r="H28" i="13"/>
  <c r="G28" i="13"/>
  <c r="J28" i="13" s="1"/>
  <c r="K27" i="13"/>
  <c r="I27" i="13"/>
  <c r="H27" i="13"/>
  <c r="G27" i="13"/>
  <c r="J27" i="13" s="1"/>
  <c r="K26" i="13"/>
  <c r="I26" i="13"/>
  <c r="H26" i="13"/>
  <c r="G26" i="13"/>
  <c r="J26" i="13" s="1"/>
  <c r="J25" i="13"/>
  <c r="I25" i="13"/>
  <c r="H25" i="13"/>
  <c r="G25" i="13"/>
  <c r="K25" i="13" s="1"/>
  <c r="J24" i="13"/>
  <c r="I24" i="13"/>
  <c r="H24" i="13"/>
  <c r="G24" i="13"/>
  <c r="K24" i="13" s="1"/>
  <c r="K23" i="13"/>
  <c r="I23" i="13"/>
  <c r="H23" i="13"/>
  <c r="G23" i="13"/>
  <c r="J23" i="13" s="1"/>
  <c r="K22" i="13"/>
  <c r="I22" i="13"/>
  <c r="H22" i="13"/>
  <c r="G22" i="13"/>
  <c r="J22" i="13" s="1"/>
  <c r="K21" i="13"/>
  <c r="I21" i="13"/>
  <c r="H21" i="13"/>
  <c r="G21" i="13"/>
  <c r="J21" i="13" s="1"/>
  <c r="K20" i="13"/>
  <c r="I20" i="13"/>
  <c r="H20" i="13"/>
  <c r="G20" i="13"/>
  <c r="J20" i="13" s="1"/>
  <c r="K19" i="13"/>
  <c r="I19" i="13"/>
  <c r="H19" i="13"/>
  <c r="G19" i="13"/>
  <c r="J19" i="13" s="1"/>
  <c r="J18" i="13"/>
  <c r="I18" i="13"/>
  <c r="H18" i="13"/>
  <c r="G18" i="13"/>
  <c r="K18" i="13" s="1"/>
  <c r="J17" i="13"/>
  <c r="I17" i="13"/>
  <c r="H17" i="13"/>
  <c r="G17" i="13"/>
  <c r="K17" i="13" s="1"/>
  <c r="K16" i="13"/>
  <c r="I16" i="13"/>
  <c r="H16" i="13"/>
  <c r="G16" i="13"/>
  <c r="J16" i="13" s="1"/>
  <c r="K15" i="13"/>
  <c r="I15" i="13"/>
  <c r="H15" i="13"/>
  <c r="G15" i="13"/>
  <c r="J15" i="13" s="1"/>
  <c r="K14" i="13"/>
  <c r="I14" i="13"/>
  <c r="H14" i="13"/>
  <c r="G14" i="13"/>
  <c r="J14" i="13" s="1"/>
  <c r="J13" i="13"/>
  <c r="I13" i="13"/>
  <c r="H13" i="13"/>
  <c r="G13" i="13"/>
  <c r="K13" i="13" s="1"/>
  <c r="K12" i="13"/>
  <c r="I12" i="13"/>
  <c r="H12" i="13"/>
  <c r="G12" i="13"/>
  <c r="J12" i="13" s="1"/>
  <c r="J11" i="13"/>
  <c r="I11" i="13"/>
  <c r="H11" i="13"/>
  <c r="G11" i="13"/>
  <c r="K11" i="13" s="1"/>
  <c r="J10" i="13"/>
  <c r="I10" i="13"/>
  <c r="H10" i="13"/>
  <c r="G10" i="13"/>
  <c r="K10" i="13" s="1"/>
  <c r="K9" i="13"/>
  <c r="I9" i="13"/>
  <c r="H9" i="13"/>
  <c r="G9" i="13"/>
  <c r="J9" i="13" s="1"/>
  <c r="K8" i="13"/>
  <c r="I8" i="13"/>
  <c r="H8" i="13"/>
  <c r="G8" i="13"/>
  <c r="J8" i="13" s="1"/>
  <c r="K7" i="13"/>
  <c r="I7" i="13"/>
  <c r="H7" i="13"/>
  <c r="G7" i="13"/>
  <c r="J7" i="13" s="1"/>
  <c r="K6" i="13"/>
  <c r="I6" i="13"/>
  <c r="H6" i="13"/>
  <c r="G6" i="13"/>
  <c r="J6" i="13" s="1"/>
  <c r="O3" i="13"/>
  <c r="O5" i="13" s="1"/>
  <c r="N3" i="13"/>
  <c r="N5" i="13" s="1"/>
  <c r="P5" i="13" s="1"/>
  <c r="K35" i="12"/>
  <c r="I35" i="12"/>
  <c r="H35" i="12"/>
  <c r="G35" i="12"/>
  <c r="J35" i="12" s="1"/>
  <c r="J34" i="12"/>
  <c r="I34" i="12"/>
  <c r="H34" i="12"/>
  <c r="G34" i="12"/>
  <c r="K34" i="12" s="1"/>
  <c r="J33" i="12"/>
  <c r="I33" i="12"/>
  <c r="H33" i="12"/>
  <c r="G33" i="12"/>
  <c r="K33" i="12" s="1"/>
  <c r="K32" i="12"/>
  <c r="I32" i="12"/>
  <c r="H32" i="12"/>
  <c r="G32" i="12"/>
  <c r="J32" i="12" s="1"/>
  <c r="K31" i="12"/>
  <c r="I31" i="12"/>
  <c r="H31" i="12"/>
  <c r="G31" i="12"/>
  <c r="J31" i="12" s="1"/>
  <c r="K30" i="12"/>
  <c r="I30" i="12"/>
  <c r="H30" i="12"/>
  <c r="G30" i="12"/>
  <c r="J30" i="12" s="1"/>
  <c r="K29" i="12"/>
  <c r="I29" i="12"/>
  <c r="H29" i="12"/>
  <c r="G29" i="12"/>
  <c r="J29" i="12" s="1"/>
  <c r="K28" i="12"/>
  <c r="I28" i="12"/>
  <c r="H28" i="12"/>
  <c r="G28" i="12"/>
  <c r="J28" i="12" s="1"/>
  <c r="J27" i="12"/>
  <c r="I27" i="12"/>
  <c r="H27" i="12"/>
  <c r="G27" i="12"/>
  <c r="K27" i="12" s="1"/>
  <c r="J26" i="12"/>
  <c r="I26" i="12"/>
  <c r="H26" i="12"/>
  <c r="G26" i="12"/>
  <c r="K26" i="12" s="1"/>
  <c r="K25" i="12"/>
  <c r="I25" i="12"/>
  <c r="H25" i="12"/>
  <c r="G25" i="12"/>
  <c r="J25" i="12" s="1"/>
  <c r="K24" i="12"/>
  <c r="I24" i="12"/>
  <c r="H24" i="12"/>
  <c r="G24" i="12"/>
  <c r="J24" i="12" s="1"/>
  <c r="K23" i="12"/>
  <c r="I23" i="12"/>
  <c r="H23" i="12"/>
  <c r="G23" i="12"/>
  <c r="J23" i="12" s="1"/>
  <c r="K22" i="12"/>
  <c r="I22" i="12"/>
  <c r="H22" i="12"/>
  <c r="G22" i="12"/>
  <c r="J22" i="12" s="1"/>
  <c r="K21" i="12"/>
  <c r="I21" i="12"/>
  <c r="H21" i="12"/>
  <c r="G21" i="12"/>
  <c r="J21" i="12" s="1"/>
  <c r="J20" i="12"/>
  <c r="I20" i="12"/>
  <c r="H20" i="12"/>
  <c r="G20" i="12"/>
  <c r="K20" i="12" s="1"/>
  <c r="J19" i="12"/>
  <c r="I19" i="12"/>
  <c r="H19" i="12"/>
  <c r="G19" i="12"/>
  <c r="K19" i="12" s="1"/>
  <c r="K18" i="12"/>
  <c r="I18" i="12"/>
  <c r="H18" i="12"/>
  <c r="G18" i="12"/>
  <c r="J18" i="12" s="1"/>
  <c r="K17" i="12"/>
  <c r="I17" i="12"/>
  <c r="H17" i="12"/>
  <c r="G17" i="12"/>
  <c r="J17" i="12" s="1"/>
  <c r="K16" i="12"/>
  <c r="I16" i="12"/>
  <c r="H16" i="12"/>
  <c r="G16" i="12"/>
  <c r="J16" i="12" s="1"/>
  <c r="K15" i="12"/>
  <c r="I15" i="12"/>
  <c r="H15" i="12"/>
  <c r="G15" i="12"/>
  <c r="J15" i="12" s="1"/>
  <c r="K14" i="12"/>
  <c r="I14" i="12"/>
  <c r="H14" i="12"/>
  <c r="G14" i="12"/>
  <c r="J14" i="12" s="1"/>
  <c r="J13" i="12"/>
  <c r="I13" i="12"/>
  <c r="H13" i="12"/>
  <c r="G13" i="12"/>
  <c r="K13" i="12" s="1"/>
  <c r="J12" i="12"/>
  <c r="I12" i="12"/>
  <c r="H12" i="12"/>
  <c r="G12" i="12"/>
  <c r="K12" i="12" s="1"/>
  <c r="K11" i="12"/>
  <c r="I11" i="12"/>
  <c r="H11" i="12"/>
  <c r="G11" i="12"/>
  <c r="J11" i="12" s="1"/>
  <c r="K10" i="12"/>
  <c r="I10" i="12"/>
  <c r="H10" i="12"/>
  <c r="G10" i="12"/>
  <c r="J10" i="12" s="1"/>
  <c r="K9" i="12"/>
  <c r="I9" i="12"/>
  <c r="H9" i="12"/>
  <c r="G9" i="12"/>
  <c r="J9" i="12" s="1"/>
  <c r="K8" i="12"/>
  <c r="I8" i="12"/>
  <c r="H8" i="12"/>
  <c r="G8" i="12"/>
  <c r="J8" i="12" s="1"/>
  <c r="K7" i="12"/>
  <c r="I7" i="12"/>
  <c r="H7" i="12"/>
  <c r="G7" i="12"/>
  <c r="J7" i="12" s="1"/>
  <c r="J6" i="12"/>
  <c r="I6" i="12"/>
  <c r="H6" i="12"/>
  <c r="G6" i="12"/>
  <c r="K6" i="12" s="1"/>
  <c r="O3" i="12"/>
  <c r="O5" i="12" s="1"/>
  <c r="N3" i="12"/>
  <c r="N5" i="12" s="1"/>
  <c r="P5" i="12" s="1"/>
  <c r="J36" i="11"/>
  <c r="I36" i="11"/>
  <c r="H36" i="11"/>
  <c r="G36" i="11"/>
  <c r="K36" i="11" s="1"/>
  <c r="K35" i="11"/>
  <c r="I35" i="11"/>
  <c r="H35" i="11"/>
  <c r="G35" i="11"/>
  <c r="J35" i="11" s="1"/>
  <c r="K34" i="11"/>
  <c r="I34" i="11"/>
  <c r="H34" i="11"/>
  <c r="G34" i="11"/>
  <c r="J34" i="11" s="1"/>
  <c r="K33" i="11"/>
  <c r="I33" i="11"/>
  <c r="H33" i="11"/>
  <c r="G33" i="11"/>
  <c r="J33" i="11" s="1"/>
  <c r="K32" i="11"/>
  <c r="I32" i="11"/>
  <c r="H32" i="11"/>
  <c r="G32" i="11"/>
  <c r="J32" i="11" s="1"/>
  <c r="K31" i="11"/>
  <c r="I31" i="11"/>
  <c r="H31" i="11"/>
  <c r="G31" i="11"/>
  <c r="J31" i="11" s="1"/>
  <c r="J30" i="11"/>
  <c r="I30" i="11"/>
  <c r="H30" i="11"/>
  <c r="G30" i="11"/>
  <c r="K30" i="11" s="1"/>
  <c r="J29" i="11"/>
  <c r="I29" i="11"/>
  <c r="H29" i="11"/>
  <c r="G29" i="11"/>
  <c r="K29" i="11" s="1"/>
  <c r="K28" i="11"/>
  <c r="I28" i="11"/>
  <c r="H28" i="11"/>
  <c r="G28" i="11"/>
  <c r="J28" i="11" s="1"/>
  <c r="K27" i="11"/>
  <c r="I27" i="11"/>
  <c r="H27" i="11"/>
  <c r="G27" i="11"/>
  <c r="J27" i="11" s="1"/>
  <c r="K26" i="11"/>
  <c r="I26" i="11"/>
  <c r="H26" i="11"/>
  <c r="G26" i="11"/>
  <c r="J26" i="11" s="1"/>
  <c r="K25" i="11"/>
  <c r="I25" i="11"/>
  <c r="H25" i="11"/>
  <c r="G25" i="11"/>
  <c r="J25" i="11" s="1"/>
  <c r="K24" i="11"/>
  <c r="I24" i="11"/>
  <c r="H24" i="11"/>
  <c r="G24" i="11"/>
  <c r="J24" i="11" s="1"/>
  <c r="J23" i="11"/>
  <c r="I23" i="11"/>
  <c r="H23" i="11"/>
  <c r="G23" i="11"/>
  <c r="K23" i="11" s="1"/>
  <c r="J22" i="11"/>
  <c r="I22" i="11"/>
  <c r="H22" i="11"/>
  <c r="G22" i="11"/>
  <c r="K22" i="11" s="1"/>
  <c r="K21" i="11"/>
  <c r="I21" i="11"/>
  <c r="H21" i="11"/>
  <c r="G21" i="11"/>
  <c r="J21" i="11" s="1"/>
  <c r="K20" i="11"/>
  <c r="I20" i="11"/>
  <c r="H20" i="11"/>
  <c r="G20" i="11"/>
  <c r="J20" i="11" s="1"/>
  <c r="K19" i="11"/>
  <c r="I19" i="11"/>
  <c r="H19" i="11"/>
  <c r="G19" i="11"/>
  <c r="J19" i="11" s="1"/>
  <c r="K18" i="11"/>
  <c r="I18" i="11"/>
  <c r="H18" i="11"/>
  <c r="G18" i="11"/>
  <c r="J18" i="11" s="1"/>
  <c r="J17" i="11"/>
  <c r="I17" i="11"/>
  <c r="H17" i="11"/>
  <c r="G17" i="11"/>
  <c r="K17" i="11" s="1"/>
  <c r="J16" i="11"/>
  <c r="I16" i="11"/>
  <c r="H16" i="11"/>
  <c r="G16" i="11"/>
  <c r="K16" i="11" s="1"/>
  <c r="J15" i="11"/>
  <c r="I15" i="11"/>
  <c r="H15" i="11"/>
  <c r="G15" i="11"/>
  <c r="K15" i="11" s="1"/>
  <c r="K14" i="11"/>
  <c r="I14" i="11"/>
  <c r="H14" i="11"/>
  <c r="G14" i="11"/>
  <c r="J14" i="11" s="1"/>
  <c r="K13" i="11"/>
  <c r="I13" i="11"/>
  <c r="H13" i="11"/>
  <c r="G13" i="11"/>
  <c r="J13" i="11" s="1"/>
  <c r="K12" i="11"/>
  <c r="I12" i="11"/>
  <c r="H12" i="11"/>
  <c r="G12" i="11"/>
  <c r="J12" i="11" s="1"/>
  <c r="K11" i="11"/>
  <c r="I11" i="11"/>
  <c r="H11" i="11"/>
  <c r="G11" i="11"/>
  <c r="J11" i="11" s="1"/>
  <c r="K10" i="11"/>
  <c r="I10" i="11"/>
  <c r="H10" i="11"/>
  <c r="G10" i="11"/>
  <c r="J10" i="11" s="1"/>
  <c r="J9" i="11"/>
  <c r="I9" i="11"/>
  <c r="H9" i="11"/>
  <c r="G9" i="11"/>
  <c r="K9" i="11" s="1"/>
  <c r="J8" i="11"/>
  <c r="I8" i="11"/>
  <c r="H8" i="11"/>
  <c r="G8" i="11"/>
  <c r="K8" i="11" s="1"/>
  <c r="K7" i="11"/>
  <c r="I7" i="11"/>
  <c r="H7" i="11"/>
  <c r="G7" i="11"/>
  <c r="J7" i="11" s="1"/>
  <c r="K6" i="11"/>
  <c r="I6" i="11"/>
  <c r="H6" i="11"/>
  <c r="G6" i="11"/>
  <c r="J6" i="11" s="1"/>
  <c r="O3" i="11"/>
  <c r="O5" i="11" s="1"/>
  <c r="N3" i="11"/>
  <c r="N5" i="11" s="1"/>
  <c r="P5" i="11" s="1"/>
  <c r="K35" i="10"/>
  <c r="I35" i="10"/>
  <c r="H35" i="10"/>
  <c r="G35" i="10"/>
  <c r="J35" i="10" s="1"/>
  <c r="K34" i="10"/>
  <c r="I34" i="10"/>
  <c r="H34" i="10"/>
  <c r="G34" i="10"/>
  <c r="J34" i="10" s="1"/>
  <c r="K33" i="10"/>
  <c r="I33" i="10"/>
  <c r="H33" i="10"/>
  <c r="G33" i="10"/>
  <c r="J33" i="10" s="1"/>
  <c r="J32" i="10"/>
  <c r="I32" i="10"/>
  <c r="H32" i="10"/>
  <c r="G32" i="10"/>
  <c r="K32" i="10" s="1"/>
  <c r="J31" i="10"/>
  <c r="I31" i="10"/>
  <c r="H31" i="10"/>
  <c r="G31" i="10"/>
  <c r="K31" i="10" s="1"/>
  <c r="K30" i="10"/>
  <c r="I30" i="10"/>
  <c r="H30" i="10"/>
  <c r="G30" i="10"/>
  <c r="J30" i="10" s="1"/>
  <c r="K29" i="10"/>
  <c r="I29" i="10"/>
  <c r="H29" i="10"/>
  <c r="G29" i="10"/>
  <c r="J29" i="10" s="1"/>
  <c r="K28" i="10"/>
  <c r="I28" i="10"/>
  <c r="H28" i="10"/>
  <c r="G28" i="10"/>
  <c r="J28" i="10" s="1"/>
  <c r="K27" i="10"/>
  <c r="I27" i="10"/>
  <c r="H27" i="10"/>
  <c r="G27" i="10"/>
  <c r="J27" i="10" s="1"/>
  <c r="K26" i="10"/>
  <c r="I26" i="10"/>
  <c r="H26" i="10"/>
  <c r="G26" i="10"/>
  <c r="J26" i="10" s="1"/>
  <c r="J25" i="10"/>
  <c r="I25" i="10"/>
  <c r="H25" i="10"/>
  <c r="G25" i="10"/>
  <c r="K25" i="10" s="1"/>
  <c r="J24" i="10"/>
  <c r="I24" i="10"/>
  <c r="H24" i="10"/>
  <c r="G24" i="10"/>
  <c r="K24" i="10" s="1"/>
  <c r="K23" i="10"/>
  <c r="I23" i="10"/>
  <c r="H23" i="10"/>
  <c r="G23" i="10"/>
  <c r="J23" i="10" s="1"/>
  <c r="K22" i="10"/>
  <c r="I22" i="10"/>
  <c r="H22" i="10"/>
  <c r="G22" i="10"/>
  <c r="J22" i="10" s="1"/>
  <c r="K21" i="10"/>
  <c r="I21" i="10"/>
  <c r="H21" i="10"/>
  <c r="G21" i="10"/>
  <c r="J21" i="10" s="1"/>
  <c r="K20" i="10"/>
  <c r="I20" i="10"/>
  <c r="H20" i="10"/>
  <c r="G20" i="10"/>
  <c r="J20" i="10" s="1"/>
  <c r="K19" i="10"/>
  <c r="I19" i="10"/>
  <c r="H19" i="10"/>
  <c r="G19" i="10"/>
  <c r="J19" i="10" s="1"/>
  <c r="J18" i="10"/>
  <c r="I18" i="10"/>
  <c r="H18" i="10"/>
  <c r="G18" i="10"/>
  <c r="K18" i="10" s="1"/>
  <c r="J17" i="10"/>
  <c r="I17" i="10"/>
  <c r="H17" i="10"/>
  <c r="G17" i="10"/>
  <c r="K17" i="10" s="1"/>
  <c r="K16" i="10"/>
  <c r="I16" i="10"/>
  <c r="H16" i="10"/>
  <c r="G16" i="10"/>
  <c r="J16" i="10" s="1"/>
  <c r="K15" i="10"/>
  <c r="I15" i="10"/>
  <c r="H15" i="10"/>
  <c r="G15" i="10"/>
  <c r="J15" i="10" s="1"/>
  <c r="K14" i="10"/>
  <c r="I14" i="10"/>
  <c r="H14" i="10"/>
  <c r="G14" i="10"/>
  <c r="J14" i="10" s="1"/>
  <c r="K13" i="10"/>
  <c r="I13" i="10"/>
  <c r="H13" i="10"/>
  <c r="G13" i="10"/>
  <c r="J13" i="10" s="1"/>
  <c r="K12" i="10"/>
  <c r="I12" i="10"/>
  <c r="H12" i="10"/>
  <c r="G12" i="10"/>
  <c r="J12" i="10" s="1"/>
  <c r="J11" i="10"/>
  <c r="I11" i="10"/>
  <c r="H11" i="10"/>
  <c r="G11" i="10"/>
  <c r="K11" i="10" s="1"/>
  <c r="J10" i="10"/>
  <c r="I10" i="10"/>
  <c r="H10" i="10"/>
  <c r="G10" i="10"/>
  <c r="K10" i="10" s="1"/>
  <c r="K9" i="10"/>
  <c r="I9" i="10"/>
  <c r="H9" i="10"/>
  <c r="G9" i="10"/>
  <c r="J9" i="10" s="1"/>
  <c r="K8" i="10"/>
  <c r="I8" i="10"/>
  <c r="H8" i="10"/>
  <c r="G8" i="10"/>
  <c r="J8" i="10" s="1"/>
  <c r="K7" i="10"/>
  <c r="I7" i="10"/>
  <c r="H7" i="10"/>
  <c r="G7" i="10"/>
  <c r="J7" i="10" s="1"/>
  <c r="K6" i="10"/>
  <c r="I6" i="10"/>
  <c r="H6" i="10"/>
  <c r="G6" i="10"/>
  <c r="J6" i="10" s="1"/>
  <c r="O3" i="10"/>
  <c r="O5" i="10" s="1"/>
  <c r="N3" i="10"/>
  <c r="N5" i="10" s="1"/>
  <c r="P5" i="10" s="1"/>
  <c r="K36" i="9"/>
  <c r="I36" i="9"/>
  <c r="H36" i="9"/>
  <c r="G36" i="9"/>
  <c r="J36" i="9" s="1"/>
  <c r="J35" i="9"/>
  <c r="I35" i="9"/>
  <c r="H35" i="9"/>
  <c r="G35" i="9"/>
  <c r="K35" i="9" s="1"/>
  <c r="J34" i="9"/>
  <c r="I34" i="9"/>
  <c r="H34" i="9"/>
  <c r="G34" i="9"/>
  <c r="K34" i="9" s="1"/>
  <c r="K33" i="9"/>
  <c r="I33" i="9"/>
  <c r="H33" i="9"/>
  <c r="G33" i="9"/>
  <c r="J33" i="9" s="1"/>
  <c r="K32" i="9"/>
  <c r="I32" i="9"/>
  <c r="H32" i="9"/>
  <c r="G32" i="9"/>
  <c r="J32" i="9" s="1"/>
  <c r="K31" i="9"/>
  <c r="I31" i="9"/>
  <c r="H31" i="9"/>
  <c r="G31" i="9"/>
  <c r="J31" i="9" s="1"/>
  <c r="K30" i="9"/>
  <c r="I30" i="9"/>
  <c r="H30" i="9"/>
  <c r="G30" i="9"/>
  <c r="J30" i="9" s="1"/>
  <c r="K29" i="9"/>
  <c r="I29" i="9"/>
  <c r="H29" i="9"/>
  <c r="G29" i="9"/>
  <c r="J29" i="9" s="1"/>
  <c r="J28" i="9"/>
  <c r="I28" i="9"/>
  <c r="H28" i="9"/>
  <c r="G28" i="9"/>
  <c r="K28" i="9" s="1"/>
  <c r="J27" i="9"/>
  <c r="I27" i="9"/>
  <c r="H27" i="9"/>
  <c r="G27" i="9"/>
  <c r="K27" i="9" s="1"/>
  <c r="K26" i="9"/>
  <c r="I26" i="9"/>
  <c r="H26" i="9"/>
  <c r="G26" i="9"/>
  <c r="J26" i="9" s="1"/>
  <c r="K25" i="9"/>
  <c r="I25" i="9"/>
  <c r="H25" i="9"/>
  <c r="G25" i="9"/>
  <c r="J25" i="9" s="1"/>
  <c r="K24" i="9"/>
  <c r="I24" i="9"/>
  <c r="H24" i="9"/>
  <c r="G24" i="9"/>
  <c r="J24" i="9" s="1"/>
  <c r="K23" i="9"/>
  <c r="I23" i="9"/>
  <c r="H23" i="9"/>
  <c r="G23" i="9"/>
  <c r="J23" i="9" s="1"/>
  <c r="K22" i="9"/>
  <c r="I22" i="9"/>
  <c r="H22" i="9"/>
  <c r="G22" i="9"/>
  <c r="J22" i="9" s="1"/>
  <c r="J21" i="9"/>
  <c r="I21" i="9"/>
  <c r="H21" i="9"/>
  <c r="G21" i="9"/>
  <c r="K21" i="9" s="1"/>
  <c r="J20" i="9"/>
  <c r="I20" i="9"/>
  <c r="H20" i="9"/>
  <c r="G20" i="9"/>
  <c r="K20" i="9" s="1"/>
  <c r="K19" i="9"/>
  <c r="I19" i="9"/>
  <c r="H19" i="9"/>
  <c r="G19" i="9"/>
  <c r="J19" i="9" s="1"/>
  <c r="K18" i="9"/>
  <c r="I18" i="9"/>
  <c r="H18" i="9"/>
  <c r="G18" i="9"/>
  <c r="J18" i="9" s="1"/>
  <c r="K17" i="9"/>
  <c r="I17" i="9"/>
  <c r="H17" i="9"/>
  <c r="G17" i="9"/>
  <c r="J17" i="9" s="1"/>
  <c r="K16" i="9"/>
  <c r="I16" i="9"/>
  <c r="H16" i="9"/>
  <c r="G16" i="9"/>
  <c r="J16" i="9" s="1"/>
  <c r="K15" i="9"/>
  <c r="I15" i="9"/>
  <c r="H15" i="9"/>
  <c r="G15" i="9"/>
  <c r="J15" i="9" s="1"/>
  <c r="J14" i="9"/>
  <c r="I14" i="9"/>
  <c r="H14" i="9"/>
  <c r="G14" i="9"/>
  <c r="K14" i="9" s="1"/>
  <c r="J13" i="9"/>
  <c r="I13" i="9"/>
  <c r="H13" i="9"/>
  <c r="G13" i="9"/>
  <c r="K13" i="9" s="1"/>
  <c r="K12" i="9"/>
  <c r="I12" i="9"/>
  <c r="H12" i="9"/>
  <c r="G12" i="9"/>
  <c r="J12" i="9" s="1"/>
  <c r="K11" i="9"/>
  <c r="I11" i="9"/>
  <c r="H11" i="9"/>
  <c r="G11" i="9"/>
  <c r="J11" i="9" s="1"/>
  <c r="K10" i="9"/>
  <c r="I10" i="9"/>
  <c r="H10" i="9"/>
  <c r="G10" i="9"/>
  <c r="J10" i="9" s="1"/>
  <c r="K9" i="9"/>
  <c r="I9" i="9"/>
  <c r="H9" i="9"/>
  <c r="G9" i="9"/>
  <c r="J9" i="9" s="1"/>
  <c r="K8" i="9"/>
  <c r="I8" i="9"/>
  <c r="H8" i="9"/>
  <c r="G8" i="9"/>
  <c r="J8" i="9" s="1"/>
  <c r="J7" i="9"/>
  <c r="I7" i="9"/>
  <c r="H7" i="9"/>
  <c r="G7" i="9"/>
  <c r="K7" i="9" s="1"/>
  <c r="J6" i="9"/>
  <c r="I6" i="9"/>
  <c r="H6" i="9"/>
  <c r="G6" i="9"/>
  <c r="K6" i="9" s="1"/>
  <c r="O3" i="9"/>
  <c r="O5" i="9" s="1"/>
  <c r="N3" i="9"/>
  <c r="N5" i="9" s="1"/>
  <c r="P5" i="9" s="1"/>
  <c r="K36" i="8"/>
  <c r="I36" i="8"/>
  <c r="H36" i="8"/>
  <c r="G36" i="8"/>
  <c r="J36" i="8" s="1"/>
  <c r="K35" i="8"/>
  <c r="I35" i="8"/>
  <c r="H35" i="8"/>
  <c r="G35" i="8"/>
  <c r="J35" i="8" s="1"/>
  <c r="K34" i="8"/>
  <c r="I34" i="8"/>
  <c r="H34" i="8"/>
  <c r="G34" i="8"/>
  <c r="J34" i="8" s="1"/>
  <c r="K33" i="8"/>
  <c r="I33" i="8"/>
  <c r="H33" i="8"/>
  <c r="G33" i="8"/>
  <c r="J33" i="8" s="1"/>
  <c r="K32" i="8"/>
  <c r="I32" i="8"/>
  <c r="H32" i="8"/>
  <c r="G32" i="8"/>
  <c r="J32" i="8" s="1"/>
  <c r="J31" i="8"/>
  <c r="I31" i="8"/>
  <c r="H31" i="8"/>
  <c r="G31" i="8"/>
  <c r="K31" i="8" s="1"/>
  <c r="J30" i="8"/>
  <c r="I30" i="8"/>
  <c r="H30" i="8"/>
  <c r="G30" i="8"/>
  <c r="K30" i="8" s="1"/>
  <c r="K29" i="8"/>
  <c r="I29" i="8"/>
  <c r="H29" i="8"/>
  <c r="G29" i="8"/>
  <c r="J29" i="8" s="1"/>
  <c r="K28" i="8"/>
  <c r="I28" i="8"/>
  <c r="H28" i="8"/>
  <c r="G28" i="8"/>
  <c r="J28" i="8" s="1"/>
  <c r="K27" i="8"/>
  <c r="I27" i="8"/>
  <c r="H27" i="8"/>
  <c r="G27" i="8"/>
  <c r="J27" i="8" s="1"/>
  <c r="K26" i="8"/>
  <c r="I26" i="8"/>
  <c r="H26" i="8"/>
  <c r="G26" i="8"/>
  <c r="J26" i="8" s="1"/>
  <c r="K25" i="8"/>
  <c r="I25" i="8"/>
  <c r="H25" i="8"/>
  <c r="G25" i="8"/>
  <c r="J25" i="8" s="1"/>
  <c r="J24" i="8"/>
  <c r="I24" i="8"/>
  <c r="H24" i="8"/>
  <c r="G24" i="8"/>
  <c r="K24" i="8" s="1"/>
  <c r="J23" i="8"/>
  <c r="I23" i="8"/>
  <c r="H23" i="8"/>
  <c r="G23" i="8"/>
  <c r="K23" i="8" s="1"/>
  <c r="K22" i="8"/>
  <c r="I22" i="8"/>
  <c r="H22" i="8"/>
  <c r="G22" i="8"/>
  <c r="J22" i="8" s="1"/>
  <c r="K21" i="8"/>
  <c r="I21" i="8"/>
  <c r="H21" i="8"/>
  <c r="G21" i="8"/>
  <c r="J21" i="8" s="1"/>
  <c r="K20" i="8"/>
  <c r="I20" i="8"/>
  <c r="H20" i="8"/>
  <c r="G20" i="8"/>
  <c r="J20" i="8" s="1"/>
  <c r="K19" i="8"/>
  <c r="I19" i="8"/>
  <c r="H19" i="8"/>
  <c r="G19" i="8"/>
  <c r="J19" i="8" s="1"/>
  <c r="K18" i="8"/>
  <c r="I18" i="8"/>
  <c r="H18" i="8"/>
  <c r="G18" i="8"/>
  <c r="J18" i="8" s="1"/>
  <c r="J17" i="8"/>
  <c r="I17" i="8"/>
  <c r="H17" i="8"/>
  <c r="G17" i="8"/>
  <c r="K17" i="8" s="1"/>
  <c r="J16" i="8"/>
  <c r="I16" i="8"/>
  <c r="H16" i="8"/>
  <c r="G16" i="8"/>
  <c r="K16" i="8" s="1"/>
  <c r="K15" i="8"/>
  <c r="I15" i="8"/>
  <c r="H15" i="8"/>
  <c r="G15" i="8"/>
  <c r="J15" i="8" s="1"/>
  <c r="K14" i="8"/>
  <c r="I14" i="8"/>
  <c r="H14" i="8"/>
  <c r="G14" i="8"/>
  <c r="J14" i="8" s="1"/>
  <c r="K13" i="8"/>
  <c r="I13" i="8"/>
  <c r="H13" i="8"/>
  <c r="G13" i="8"/>
  <c r="J13" i="8" s="1"/>
  <c r="K12" i="8"/>
  <c r="I12" i="8"/>
  <c r="H12" i="8"/>
  <c r="G12" i="8"/>
  <c r="J12" i="8" s="1"/>
  <c r="K11" i="8"/>
  <c r="I11" i="8"/>
  <c r="H11" i="8"/>
  <c r="G11" i="8"/>
  <c r="J11" i="8" s="1"/>
  <c r="J10" i="8"/>
  <c r="I10" i="8"/>
  <c r="H10" i="8"/>
  <c r="G10" i="8"/>
  <c r="K10" i="8" s="1"/>
  <c r="J9" i="8"/>
  <c r="I9" i="8"/>
  <c r="H9" i="8"/>
  <c r="G9" i="8"/>
  <c r="K9" i="8" s="1"/>
  <c r="K8" i="8"/>
  <c r="I8" i="8"/>
  <c r="H8" i="8"/>
  <c r="G8" i="8"/>
  <c r="J8" i="8" s="1"/>
  <c r="K7" i="8"/>
  <c r="I7" i="8"/>
  <c r="H7" i="8"/>
  <c r="G7" i="8"/>
  <c r="J7" i="8" s="1"/>
  <c r="K6" i="8"/>
  <c r="I6" i="8"/>
  <c r="H6" i="8"/>
  <c r="G6" i="8"/>
  <c r="J6" i="8" s="1"/>
  <c r="O3" i="8"/>
  <c r="O5" i="8" s="1"/>
  <c r="N3" i="8"/>
  <c r="N5" i="8" s="1"/>
  <c r="P5" i="8" s="1"/>
  <c r="K35" i="7"/>
  <c r="I35" i="7"/>
  <c r="H35" i="7"/>
  <c r="G35" i="7"/>
  <c r="J35" i="7" s="1"/>
  <c r="K34" i="7"/>
  <c r="I34" i="7"/>
  <c r="H34" i="7"/>
  <c r="G34" i="7"/>
  <c r="J34" i="7" s="1"/>
  <c r="J33" i="7"/>
  <c r="I33" i="7"/>
  <c r="H33" i="7"/>
  <c r="G33" i="7"/>
  <c r="K33" i="7" s="1"/>
  <c r="J32" i="7"/>
  <c r="I32" i="7"/>
  <c r="H32" i="7"/>
  <c r="G32" i="7"/>
  <c r="K32" i="7" s="1"/>
  <c r="K31" i="7"/>
  <c r="I31" i="7"/>
  <c r="H31" i="7"/>
  <c r="G31" i="7"/>
  <c r="J31" i="7" s="1"/>
  <c r="K30" i="7"/>
  <c r="I30" i="7"/>
  <c r="H30" i="7"/>
  <c r="G30" i="7"/>
  <c r="J30" i="7" s="1"/>
  <c r="K29" i="7"/>
  <c r="I29" i="7"/>
  <c r="H29" i="7"/>
  <c r="G29" i="7"/>
  <c r="J29" i="7" s="1"/>
  <c r="K28" i="7"/>
  <c r="I28" i="7"/>
  <c r="H28" i="7"/>
  <c r="G28" i="7"/>
  <c r="J28" i="7" s="1"/>
  <c r="K27" i="7"/>
  <c r="I27" i="7"/>
  <c r="H27" i="7"/>
  <c r="G27" i="7"/>
  <c r="J27" i="7" s="1"/>
  <c r="J26" i="7"/>
  <c r="I26" i="7"/>
  <c r="H26" i="7"/>
  <c r="G26" i="7"/>
  <c r="K26" i="7" s="1"/>
  <c r="J25" i="7"/>
  <c r="I25" i="7"/>
  <c r="H25" i="7"/>
  <c r="G25" i="7"/>
  <c r="K25" i="7" s="1"/>
  <c r="K24" i="7"/>
  <c r="I24" i="7"/>
  <c r="H24" i="7"/>
  <c r="G24" i="7"/>
  <c r="J24" i="7" s="1"/>
  <c r="K23" i="7"/>
  <c r="I23" i="7"/>
  <c r="H23" i="7"/>
  <c r="G23" i="7"/>
  <c r="J23" i="7" s="1"/>
  <c r="K22" i="7"/>
  <c r="I22" i="7"/>
  <c r="H22" i="7"/>
  <c r="G22" i="7"/>
  <c r="J22" i="7" s="1"/>
  <c r="K21" i="7"/>
  <c r="I21" i="7"/>
  <c r="H21" i="7"/>
  <c r="G21" i="7"/>
  <c r="J21" i="7" s="1"/>
  <c r="K20" i="7"/>
  <c r="I20" i="7"/>
  <c r="H20" i="7"/>
  <c r="G20" i="7"/>
  <c r="J20" i="7" s="1"/>
  <c r="J19" i="7"/>
  <c r="I19" i="7"/>
  <c r="H19" i="7"/>
  <c r="G19" i="7"/>
  <c r="K19" i="7" s="1"/>
  <c r="J18" i="7"/>
  <c r="I18" i="7"/>
  <c r="H18" i="7"/>
  <c r="G18" i="7"/>
  <c r="K18" i="7" s="1"/>
  <c r="K17" i="7"/>
  <c r="I17" i="7"/>
  <c r="H17" i="7"/>
  <c r="G17" i="7"/>
  <c r="J17" i="7" s="1"/>
  <c r="K16" i="7"/>
  <c r="I16" i="7"/>
  <c r="H16" i="7"/>
  <c r="G16" i="7"/>
  <c r="J16" i="7" s="1"/>
  <c r="K15" i="7"/>
  <c r="I15" i="7"/>
  <c r="H15" i="7"/>
  <c r="G15" i="7"/>
  <c r="J15" i="7" s="1"/>
  <c r="K14" i="7"/>
  <c r="I14" i="7"/>
  <c r="H14" i="7"/>
  <c r="G14" i="7"/>
  <c r="J14" i="7" s="1"/>
  <c r="K13" i="7"/>
  <c r="I13" i="7"/>
  <c r="H13" i="7"/>
  <c r="G13" i="7"/>
  <c r="J13" i="7" s="1"/>
  <c r="J12" i="7"/>
  <c r="I12" i="7"/>
  <c r="H12" i="7"/>
  <c r="G12" i="7"/>
  <c r="K12" i="7" s="1"/>
  <c r="J11" i="7"/>
  <c r="I11" i="7"/>
  <c r="H11" i="7"/>
  <c r="G11" i="7"/>
  <c r="K11" i="7" s="1"/>
  <c r="K10" i="7"/>
  <c r="I10" i="7"/>
  <c r="H10" i="7"/>
  <c r="G10" i="7"/>
  <c r="J10" i="7" s="1"/>
  <c r="K9" i="7"/>
  <c r="I9" i="7"/>
  <c r="H9" i="7"/>
  <c r="G9" i="7"/>
  <c r="J9" i="7" s="1"/>
  <c r="K8" i="7"/>
  <c r="I8" i="7"/>
  <c r="H8" i="7"/>
  <c r="G8" i="7"/>
  <c r="J8" i="7" s="1"/>
  <c r="K7" i="7"/>
  <c r="I7" i="7"/>
  <c r="H7" i="7"/>
  <c r="G7" i="7"/>
  <c r="J7" i="7" s="1"/>
  <c r="K6" i="7"/>
  <c r="I6" i="7"/>
  <c r="H6" i="7"/>
  <c r="G6" i="7"/>
  <c r="J6" i="7" s="1"/>
  <c r="O3" i="7"/>
  <c r="O5" i="7" s="1"/>
  <c r="N3" i="7"/>
  <c r="N5" i="7" s="1"/>
  <c r="P5" i="7" s="1"/>
  <c r="J36" i="6"/>
  <c r="I36" i="6"/>
  <c r="H36" i="6"/>
  <c r="G36" i="6"/>
  <c r="K36" i="6" s="1"/>
  <c r="J35" i="6"/>
  <c r="I35" i="6"/>
  <c r="H35" i="6"/>
  <c r="G35" i="6"/>
  <c r="K35" i="6" s="1"/>
  <c r="K34" i="6"/>
  <c r="I34" i="6"/>
  <c r="H34" i="6"/>
  <c r="G34" i="6"/>
  <c r="J34" i="6" s="1"/>
  <c r="K33" i="6"/>
  <c r="I33" i="6"/>
  <c r="H33" i="6"/>
  <c r="G33" i="6"/>
  <c r="J33" i="6" s="1"/>
  <c r="K32" i="6"/>
  <c r="I32" i="6"/>
  <c r="H32" i="6"/>
  <c r="G32" i="6"/>
  <c r="J32" i="6" s="1"/>
  <c r="K31" i="6"/>
  <c r="I31" i="6"/>
  <c r="H31" i="6"/>
  <c r="G31" i="6"/>
  <c r="J31" i="6" s="1"/>
  <c r="K30" i="6"/>
  <c r="I30" i="6"/>
  <c r="H30" i="6"/>
  <c r="G30" i="6"/>
  <c r="J30" i="6" s="1"/>
  <c r="J29" i="6"/>
  <c r="I29" i="6"/>
  <c r="H29" i="6"/>
  <c r="G29" i="6"/>
  <c r="K29" i="6" s="1"/>
  <c r="J28" i="6"/>
  <c r="I28" i="6"/>
  <c r="H28" i="6"/>
  <c r="G28" i="6"/>
  <c r="K28" i="6" s="1"/>
  <c r="K27" i="6"/>
  <c r="I27" i="6"/>
  <c r="H27" i="6"/>
  <c r="G27" i="6"/>
  <c r="J27" i="6" s="1"/>
  <c r="K26" i="6"/>
  <c r="I26" i="6"/>
  <c r="H26" i="6"/>
  <c r="G26" i="6"/>
  <c r="J26" i="6" s="1"/>
  <c r="K25" i="6"/>
  <c r="I25" i="6"/>
  <c r="H25" i="6"/>
  <c r="G25" i="6"/>
  <c r="J25" i="6" s="1"/>
  <c r="K24" i="6"/>
  <c r="I24" i="6"/>
  <c r="H24" i="6"/>
  <c r="G24" i="6"/>
  <c r="J24" i="6" s="1"/>
  <c r="K23" i="6"/>
  <c r="I23" i="6"/>
  <c r="H23" i="6"/>
  <c r="G23" i="6"/>
  <c r="J23" i="6" s="1"/>
  <c r="J22" i="6"/>
  <c r="I22" i="6"/>
  <c r="H22" i="6"/>
  <c r="G22" i="6"/>
  <c r="K22" i="6" s="1"/>
  <c r="J21" i="6"/>
  <c r="I21" i="6"/>
  <c r="H21" i="6"/>
  <c r="G21" i="6"/>
  <c r="K21" i="6" s="1"/>
  <c r="K20" i="6"/>
  <c r="I20" i="6"/>
  <c r="H20" i="6"/>
  <c r="G20" i="6"/>
  <c r="J20" i="6" s="1"/>
  <c r="K19" i="6"/>
  <c r="I19" i="6"/>
  <c r="H19" i="6"/>
  <c r="G19" i="6"/>
  <c r="J19" i="6" s="1"/>
  <c r="K18" i="6"/>
  <c r="I18" i="6"/>
  <c r="H18" i="6"/>
  <c r="G18" i="6"/>
  <c r="J18" i="6" s="1"/>
  <c r="K17" i="6"/>
  <c r="I17" i="6"/>
  <c r="H17" i="6"/>
  <c r="G17" i="6"/>
  <c r="J17" i="6" s="1"/>
  <c r="K16" i="6"/>
  <c r="I16" i="6"/>
  <c r="H16" i="6"/>
  <c r="G16" i="6"/>
  <c r="J16" i="6" s="1"/>
  <c r="J15" i="6"/>
  <c r="I15" i="6"/>
  <c r="H15" i="6"/>
  <c r="G15" i="6"/>
  <c r="K15" i="6" s="1"/>
  <c r="J14" i="6"/>
  <c r="I14" i="6"/>
  <c r="H14" i="6"/>
  <c r="G14" i="6"/>
  <c r="K14" i="6" s="1"/>
  <c r="K13" i="6"/>
  <c r="I13" i="6"/>
  <c r="H13" i="6"/>
  <c r="G13" i="6"/>
  <c r="J13" i="6" s="1"/>
  <c r="K12" i="6"/>
  <c r="I12" i="6"/>
  <c r="H12" i="6"/>
  <c r="G12" i="6"/>
  <c r="J12" i="6" s="1"/>
  <c r="K11" i="6"/>
  <c r="I11" i="6"/>
  <c r="H11" i="6"/>
  <c r="G11" i="6"/>
  <c r="J11" i="6" s="1"/>
  <c r="K10" i="6"/>
  <c r="I10" i="6"/>
  <c r="H10" i="6"/>
  <c r="G10" i="6"/>
  <c r="J10" i="6" s="1"/>
  <c r="K9" i="6"/>
  <c r="I9" i="6"/>
  <c r="H9" i="6"/>
  <c r="G9" i="6"/>
  <c r="J9" i="6" s="1"/>
  <c r="J8" i="6"/>
  <c r="I8" i="6"/>
  <c r="H8" i="6"/>
  <c r="G8" i="6"/>
  <c r="K8" i="6" s="1"/>
  <c r="J7" i="6"/>
  <c r="I7" i="6"/>
  <c r="H7" i="6"/>
  <c r="G7" i="6"/>
  <c r="K7" i="6" s="1"/>
  <c r="J6" i="6"/>
  <c r="I6" i="6"/>
  <c r="H6" i="6"/>
  <c r="G6" i="6"/>
  <c r="K6" i="6" s="1"/>
  <c r="O3" i="6"/>
  <c r="O5" i="6" s="1"/>
  <c r="N3" i="6"/>
  <c r="N5" i="6" s="1"/>
  <c r="P5" i="6" s="1"/>
  <c r="K35" i="5"/>
  <c r="I35" i="5"/>
  <c r="H35" i="5"/>
  <c r="G35" i="5"/>
  <c r="J35" i="5" s="1"/>
  <c r="K34" i="5"/>
  <c r="I34" i="5"/>
  <c r="H34" i="5"/>
  <c r="G34" i="5"/>
  <c r="J34" i="5" s="1"/>
  <c r="K33" i="5"/>
  <c r="I33" i="5"/>
  <c r="H33" i="5"/>
  <c r="G33" i="5"/>
  <c r="J33" i="5" s="1"/>
  <c r="K32" i="5"/>
  <c r="I32" i="5"/>
  <c r="H32" i="5"/>
  <c r="G32" i="5"/>
  <c r="J32" i="5" s="1"/>
  <c r="J31" i="5"/>
  <c r="I31" i="5"/>
  <c r="H31" i="5"/>
  <c r="G31" i="5"/>
  <c r="K31" i="5" s="1"/>
  <c r="J30" i="5"/>
  <c r="I30" i="5"/>
  <c r="H30" i="5"/>
  <c r="G30" i="5"/>
  <c r="K30" i="5" s="1"/>
  <c r="K29" i="5"/>
  <c r="I29" i="5"/>
  <c r="H29" i="5"/>
  <c r="G29" i="5"/>
  <c r="J29" i="5" s="1"/>
  <c r="K28" i="5"/>
  <c r="I28" i="5"/>
  <c r="H28" i="5"/>
  <c r="G28" i="5"/>
  <c r="J28" i="5" s="1"/>
  <c r="K27" i="5"/>
  <c r="I27" i="5"/>
  <c r="H27" i="5"/>
  <c r="G27" i="5"/>
  <c r="J27" i="5" s="1"/>
  <c r="K26" i="5"/>
  <c r="I26" i="5"/>
  <c r="H26" i="5"/>
  <c r="G26" i="5"/>
  <c r="J26" i="5" s="1"/>
  <c r="K25" i="5"/>
  <c r="I25" i="5"/>
  <c r="H25" i="5"/>
  <c r="G25" i="5"/>
  <c r="J25" i="5" s="1"/>
  <c r="J24" i="5"/>
  <c r="I24" i="5"/>
  <c r="H24" i="5"/>
  <c r="G24" i="5"/>
  <c r="K24" i="5" s="1"/>
  <c r="J23" i="5"/>
  <c r="I23" i="5"/>
  <c r="H23" i="5"/>
  <c r="G23" i="5"/>
  <c r="K23" i="5" s="1"/>
  <c r="K22" i="5"/>
  <c r="I22" i="5"/>
  <c r="H22" i="5"/>
  <c r="G22" i="5"/>
  <c r="J22" i="5" s="1"/>
  <c r="K21" i="5"/>
  <c r="I21" i="5"/>
  <c r="H21" i="5"/>
  <c r="G21" i="5"/>
  <c r="J21" i="5" s="1"/>
  <c r="K20" i="5"/>
  <c r="I20" i="5"/>
  <c r="H20" i="5"/>
  <c r="G20" i="5"/>
  <c r="J20" i="5" s="1"/>
  <c r="K19" i="5"/>
  <c r="I19" i="5"/>
  <c r="H19" i="5"/>
  <c r="G19" i="5"/>
  <c r="J19" i="5" s="1"/>
  <c r="K18" i="5"/>
  <c r="I18" i="5"/>
  <c r="H18" i="5"/>
  <c r="G18" i="5"/>
  <c r="J18" i="5" s="1"/>
  <c r="J17" i="5"/>
  <c r="I17" i="5"/>
  <c r="H17" i="5"/>
  <c r="G17" i="5"/>
  <c r="K17" i="5" s="1"/>
  <c r="J16" i="5"/>
  <c r="I16" i="5"/>
  <c r="H16" i="5"/>
  <c r="G16" i="5"/>
  <c r="K16" i="5" s="1"/>
  <c r="K15" i="5"/>
  <c r="I15" i="5"/>
  <c r="H15" i="5"/>
  <c r="G15" i="5"/>
  <c r="J15" i="5" s="1"/>
  <c r="K14" i="5"/>
  <c r="I14" i="5"/>
  <c r="H14" i="5"/>
  <c r="G14" i="5"/>
  <c r="J14" i="5" s="1"/>
  <c r="K13" i="5"/>
  <c r="I13" i="5"/>
  <c r="H13" i="5"/>
  <c r="G13" i="5"/>
  <c r="J13" i="5" s="1"/>
  <c r="K12" i="5"/>
  <c r="I12" i="5"/>
  <c r="H12" i="5"/>
  <c r="G12" i="5"/>
  <c r="J12" i="5" s="1"/>
  <c r="J11" i="5"/>
  <c r="I11" i="5"/>
  <c r="H11" i="5"/>
  <c r="G11" i="5"/>
  <c r="K11" i="5" s="1"/>
  <c r="J10" i="5"/>
  <c r="I10" i="5"/>
  <c r="H10" i="5"/>
  <c r="G10" i="5"/>
  <c r="K10" i="5" s="1"/>
  <c r="J9" i="5"/>
  <c r="I9" i="5"/>
  <c r="H9" i="5"/>
  <c r="G9" i="5"/>
  <c r="K9" i="5" s="1"/>
  <c r="J8" i="5"/>
  <c r="I8" i="5"/>
  <c r="H8" i="5"/>
  <c r="G8" i="5"/>
  <c r="K8" i="5" s="1"/>
  <c r="J7" i="5"/>
  <c r="I7" i="5"/>
  <c r="H7" i="5"/>
  <c r="G7" i="5"/>
  <c r="K7" i="5" s="1"/>
  <c r="K6" i="5"/>
  <c r="I6" i="5"/>
  <c r="H6" i="5"/>
  <c r="G6" i="5"/>
  <c r="J6" i="5" s="1"/>
  <c r="O3" i="5"/>
  <c r="O5" i="5" s="1"/>
  <c r="N3" i="5"/>
  <c r="N5" i="5" s="1"/>
  <c r="P5" i="5" s="1"/>
  <c r="K36" i="4"/>
  <c r="I36" i="4"/>
  <c r="H36" i="4"/>
  <c r="G36" i="4"/>
  <c r="J36" i="4" s="1"/>
  <c r="K35" i="4"/>
  <c r="I35" i="4"/>
  <c r="H35" i="4"/>
  <c r="G35" i="4"/>
  <c r="J35" i="4" s="1"/>
  <c r="J34" i="4"/>
  <c r="I34" i="4"/>
  <c r="H34" i="4"/>
  <c r="G34" i="4"/>
  <c r="K34" i="4" s="1"/>
  <c r="J33" i="4"/>
  <c r="I33" i="4"/>
  <c r="H33" i="4"/>
  <c r="G33" i="4"/>
  <c r="K33" i="4" s="1"/>
  <c r="K32" i="4"/>
  <c r="I32" i="4"/>
  <c r="H32" i="4"/>
  <c r="G32" i="4"/>
  <c r="J32" i="4" s="1"/>
  <c r="K31" i="4"/>
  <c r="I31" i="4"/>
  <c r="H31" i="4"/>
  <c r="G31" i="4"/>
  <c r="J31" i="4" s="1"/>
  <c r="K30" i="4"/>
  <c r="I30" i="4"/>
  <c r="H30" i="4"/>
  <c r="G30" i="4"/>
  <c r="J30" i="4" s="1"/>
  <c r="K29" i="4"/>
  <c r="I29" i="4"/>
  <c r="H29" i="4"/>
  <c r="G29" i="4"/>
  <c r="J29" i="4" s="1"/>
  <c r="K28" i="4"/>
  <c r="I28" i="4"/>
  <c r="H28" i="4"/>
  <c r="G28" i="4"/>
  <c r="J28" i="4" s="1"/>
  <c r="J27" i="4"/>
  <c r="I27" i="4"/>
  <c r="H27" i="4"/>
  <c r="G27" i="4"/>
  <c r="K27" i="4" s="1"/>
  <c r="J26" i="4"/>
  <c r="I26" i="4"/>
  <c r="H26" i="4"/>
  <c r="G26" i="4"/>
  <c r="K26" i="4" s="1"/>
  <c r="K25" i="4"/>
  <c r="I25" i="4"/>
  <c r="H25" i="4"/>
  <c r="G25" i="4"/>
  <c r="J25" i="4" s="1"/>
  <c r="K24" i="4"/>
  <c r="I24" i="4"/>
  <c r="H24" i="4"/>
  <c r="G24" i="4"/>
  <c r="J24" i="4" s="1"/>
  <c r="K23" i="4"/>
  <c r="I23" i="4"/>
  <c r="H23" i="4"/>
  <c r="G23" i="4"/>
  <c r="J23" i="4" s="1"/>
  <c r="K22" i="4"/>
  <c r="I22" i="4"/>
  <c r="H22" i="4"/>
  <c r="G22" i="4"/>
  <c r="J22" i="4" s="1"/>
  <c r="K21" i="4"/>
  <c r="I21" i="4"/>
  <c r="H21" i="4"/>
  <c r="G21" i="4"/>
  <c r="J21" i="4" s="1"/>
  <c r="J20" i="4"/>
  <c r="I20" i="4"/>
  <c r="H20" i="4"/>
  <c r="G20" i="4"/>
  <c r="K20" i="4" s="1"/>
  <c r="J19" i="4"/>
  <c r="I19" i="4"/>
  <c r="H19" i="4"/>
  <c r="G19" i="4"/>
  <c r="K19" i="4" s="1"/>
  <c r="K18" i="4"/>
  <c r="I18" i="4"/>
  <c r="H18" i="4"/>
  <c r="G18" i="4"/>
  <c r="J18" i="4" s="1"/>
  <c r="K17" i="4"/>
  <c r="I17" i="4"/>
  <c r="H17" i="4"/>
  <c r="G17" i="4"/>
  <c r="J17" i="4" s="1"/>
  <c r="K16" i="4"/>
  <c r="I16" i="4"/>
  <c r="H16" i="4"/>
  <c r="G16" i="4"/>
  <c r="J16" i="4" s="1"/>
  <c r="K15" i="4"/>
  <c r="I15" i="4"/>
  <c r="H15" i="4"/>
  <c r="G15" i="4"/>
  <c r="J15" i="4" s="1"/>
  <c r="K14" i="4"/>
  <c r="I14" i="4"/>
  <c r="H14" i="4"/>
  <c r="G14" i="4"/>
  <c r="J14" i="4" s="1"/>
  <c r="J13" i="4"/>
  <c r="I13" i="4"/>
  <c r="H13" i="4"/>
  <c r="G13" i="4"/>
  <c r="K13" i="4" s="1"/>
  <c r="J12" i="4"/>
  <c r="I12" i="4"/>
  <c r="H12" i="4"/>
  <c r="G12" i="4"/>
  <c r="K12" i="4" s="1"/>
  <c r="K11" i="4"/>
  <c r="I11" i="4"/>
  <c r="H11" i="4"/>
  <c r="G11" i="4"/>
  <c r="J11" i="4" s="1"/>
  <c r="K10" i="4"/>
  <c r="I10" i="4"/>
  <c r="H10" i="4"/>
  <c r="G10" i="4"/>
  <c r="J10" i="4" s="1"/>
  <c r="K9" i="4"/>
  <c r="I9" i="4"/>
  <c r="H9" i="4"/>
  <c r="G9" i="4"/>
  <c r="J9" i="4" s="1"/>
  <c r="K8" i="4"/>
  <c r="I8" i="4"/>
  <c r="H8" i="4"/>
  <c r="G8" i="4"/>
  <c r="J8" i="4" s="1"/>
  <c r="J7" i="4"/>
  <c r="I7" i="4"/>
  <c r="H7" i="4"/>
  <c r="G7" i="4"/>
  <c r="K7" i="4" s="1"/>
  <c r="J6" i="4"/>
  <c r="I6" i="4"/>
  <c r="H6" i="4"/>
  <c r="G6" i="4"/>
  <c r="K6" i="4" s="1"/>
  <c r="O3" i="4"/>
  <c r="O5" i="4" s="1"/>
  <c r="N3" i="4"/>
  <c r="N5" i="4" s="1"/>
  <c r="P5" i="4" s="1"/>
  <c r="J33" i="3"/>
  <c r="I33" i="3"/>
  <c r="H33" i="3"/>
  <c r="G33" i="3"/>
  <c r="K33" i="3" s="1"/>
  <c r="K32" i="3"/>
  <c r="I32" i="3"/>
  <c r="H32" i="3"/>
  <c r="G32" i="3"/>
  <c r="J32" i="3" s="1"/>
  <c r="K31" i="3"/>
  <c r="I31" i="3"/>
  <c r="H31" i="3"/>
  <c r="G31" i="3"/>
  <c r="J31" i="3" s="1"/>
  <c r="K30" i="3"/>
  <c r="I30" i="3"/>
  <c r="H30" i="3"/>
  <c r="G30" i="3"/>
  <c r="J30" i="3" s="1"/>
  <c r="K29" i="3"/>
  <c r="I29" i="3"/>
  <c r="H29" i="3"/>
  <c r="G29" i="3"/>
  <c r="J29" i="3" s="1"/>
  <c r="K28" i="3"/>
  <c r="I28" i="3"/>
  <c r="H28" i="3"/>
  <c r="G28" i="3"/>
  <c r="J28" i="3" s="1"/>
  <c r="J27" i="3"/>
  <c r="I27" i="3"/>
  <c r="H27" i="3"/>
  <c r="G27" i="3"/>
  <c r="K27" i="3" s="1"/>
  <c r="J26" i="3"/>
  <c r="I26" i="3"/>
  <c r="H26" i="3"/>
  <c r="G26" i="3"/>
  <c r="K26" i="3" s="1"/>
  <c r="K25" i="3"/>
  <c r="I25" i="3"/>
  <c r="H25" i="3"/>
  <c r="G25" i="3"/>
  <c r="J25" i="3" s="1"/>
  <c r="K24" i="3"/>
  <c r="I24" i="3"/>
  <c r="H24" i="3"/>
  <c r="G24" i="3"/>
  <c r="J24" i="3" s="1"/>
  <c r="K23" i="3"/>
  <c r="I23" i="3"/>
  <c r="H23" i="3"/>
  <c r="G23" i="3"/>
  <c r="J23" i="3" s="1"/>
  <c r="K22" i="3"/>
  <c r="I22" i="3"/>
  <c r="H22" i="3"/>
  <c r="G22" i="3"/>
  <c r="J22" i="3" s="1"/>
  <c r="K21" i="3"/>
  <c r="I21" i="3"/>
  <c r="H21" i="3"/>
  <c r="G21" i="3"/>
  <c r="J21" i="3" s="1"/>
  <c r="J20" i="3"/>
  <c r="I20" i="3"/>
  <c r="H20" i="3"/>
  <c r="G20" i="3"/>
  <c r="K20" i="3" s="1"/>
  <c r="J19" i="3"/>
  <c r="I19" i="3"/>
  <c r="H19" i="3"/>
  <c r="G19" i="3"/>
  <c r="K19" i="3" s="1"/>
  <c r="K18" i="3"/>
  <c r="I18" i="3"/>
  <c r="H18" i="3"/>
  <c r="G18" i="3"/>
  <c r="J18" i="3" s="1"/>
  <c r="K17" i="3"/>
  <c r="I17" i="3"/>
  <c r="H17" i="3"/>
  <c r="G17" i="3"/>
  <c r="J17" i="3" s="1"/>
  <c r="K16" i="3"/>
  <c r="I16" i="3"/>
  <c r="H16" i="3"/>
  <c r="G16" i="3"/>
  <c r="J16" i="3" s="1"/>
  <c r="K15" i="3"/>
  <c r="I15" i="3"/>
  <c r="H15" i="3"/>
  <c r="G15" i="3"/>
  <c r="J15" i="3" s="1"/>
  <c r="K14" i="3"/>
  <c r="I14" i="3"/>
  <c r="H14" i="3"/>
  <c r="G14" i="3"/>
  <c r="J14" i="3" s="1"/>
  <c r="J13" i="3"/>
  <c r="I13" i="3"/>
  <c r="H13" i="3"/>
  <c r="G13" i="3"/>
  <c r="K13" i="3" s="1"/>
  <c r="J12" i="3"/>
  <c r="I12" i="3"/>
  <c r="H12" i="3"/>
  <c r="G12" i="3"/>
  <c r="K12" i="3" s="1"/>
  <c r="K11" i="3"/>
  <c r="I11" i="3"/>
  <c r="H11" i="3"/>
  <c r="G11" i="3"/>
  <c r="J11" i="3" s="1"/>
  <c r="K10" i="3"/>
  <c r="I10" i="3"/>
  <c r="H10" i="3"/>
  <c r="G10" i="3"/>
  <c r="J10" i="3" s="1"/>
  <c r="K9" i="3"/>
  <c r="I9" i="3"/>
  <c r="H9" i="3"/>
  <c r="G9" i="3"/>
  <c r="J9" i="3" s="1"/>
  <c r="K8" i="3"/>
  <c r="I8" i="3"/>
  <c r="H8" i="3"/>
  <c r="G8" i="3"/>
  <c r="J8" i="3" s="1"/>
  <c r="K7" i="3"/>
  <c r="I7" i="3"/>
  <c r="H7" i="3"/>
  <c r="G7" i="3"/>
  <c r="J7" i="3" s="1"/>
  <c r="J6" i="3"/>
  <c r="I6" i="3"/>
  <c r="H6" i="3"/>
  <c r="G6" i="3"/>
  <c r="K6" i="3" s="1"/>
  <c r="O3" i="3"/>
  <c r="O5" i="3" s="1"/>
  <c r="N3" i="3"/>
  <c r="N5" i="3" s="1"/>
  <c r="P5" i="3" s="1"/>
  <c r="J36" i="2"/>
  <c r="I36" i="2"/>
  <c r="H36" i="2"/>
  <c r="G36" i="2"/>
  <c r="K36" i="2" s="1"/>
  <c r="K35" i="2"/>
  <c r="I35" i="2"/>
  <c r="H35" i="2"/>
  <c r="G35" i="2"/>
  <c r="J35" i="2" s="1"/>
  <c r="K34" i="2"/>
  <c r="I34" i="2"/>
  <c r="H34" i="2"/>
  <c r="G34" i="2"/>
  <c r="J34" i="2" s="1"/>
  <c r="K33" i="2"/>
  <c r="I33" i="2"/>
  <c r="H33" i="2"/>
  <c r="G33" i="2"/>
  <c r="J33" i="2" s="1"/>
  <c r="K32" i="2"/>
  <c r="I32" i="2"/>
  <c r="H32" i="2"/>
  <c r="G32" i="2"/>
  <c r="J32" i="2" s="1"/>
  <c r="K31" i="2"/>
  <c r="I31" i="2"/>
  <c r="H31" i="2"/>
  <c r="G31" i="2"/>
  <c r="J31" i="2" s="1"/>
  <c r="J30" i="2"/>
  <c r="I30" i="2"/>
  <c r="H30" i="2"/>
  <c r="G30" i="2"/>
  <c r="K30" i="2" s="1"/>
  <c r="J29" i="2"/>
  <c r="I29" i="2"/>
  <c r="H29" i="2"/>
  <c r="G29" i="2"/>
  <c r="K29" i="2" s="1"/>
  <c r="K28" i="2"/>
  <c r="I28" i="2"/>
  <c r="H28" i="2"/>
  <c r="G28" i="2"/>
  <c r="J28" i="2" s="1"/>
  <c r="K27" i="2"/>
  <c r="I27" i="2"/>
  <c r="H27" i="2"/>
  <c r="G27" i="2"/>
  <c r="J27" i="2" s="1"/>
  <c r="K26" i="2"/>
  <c r="I26" i="2"/>
  <c r="H26" i="2"/>
  <c r="G26" i="2"/>
  <c r="J26" i="2" s="1"/>
  <c r="K25" i="2"/>
  <c r="I25" i="2"/>
  <c r="H25" i="2"/>
  <c r="G25" i="2"/>
  <c r="J25" i="2" s="1"/>
  <c r="K24" i="2"/>
  <c r="I24" i="2"/>
  <c r="H24" i="2"/>
  <c r="G24" i="2"/>
  <c r="J24" i="2" s="1"/>
  <c r="J23" i="2"/>
  <c r="I23" i="2"/>
  <c r="H23" i="2"/>
  <c r="G23" i="2"/>
  <c r="K23" i="2" s="1"/>
  <c r="J22" i="2"/>
  <c r="I22" i="2"/>
  <c r="H22" i="2"/>
  <c r="G22" i="2"/>
  <c r="K22" i="2" s="1"/>
  <c r="K21" i="2"/>
  <c r="I21" i="2"/>
  <c r="H21" i="2"/>
  <c r="G21" i="2"/>
  <c r="J21" i="2" s="1"/>
  <c r="K20" i="2"/>
  <c r="I20" i="2"/>
  <c r="H20" i="2"/>
  <c r="G20" i="2"/>
  <c r="J20" i="2" s="1"/>
  <c r="K19" i="2"/>
  <c r="I19" i="2"/>
  <c r="H19" i="2"/>
  <c r="G19" i="2"/>
  <c r="J19" i="2" s="1"/>
  <c r="K18" i="2"/>
  <c r="I18" i="2"/>
  <c r="H18" i="2"/>
  <c r="G18" i="2"/>
  <c r="J18" i="2" s="1"/>
  <c r="K17" i="2"/>
  <c r="I17" i="2"/>
  <c r="H17" i="2"/>
  <c r="G17" i="2"/>
  <c r="J17" i="2" s="1"/>
  <c r="J16" i="2"/>
  <c r="I16" i="2"/>
  <c r="H16" i="2"/>
  <c r="G16" i="2"/>
  <c r="K16" i="2" s="1"/>
  <c r="J15" i="2"/>
  <c r="I15" i="2"/>
  <c r="H15" i="2"/>
  <c r="G15" i="2"/>
  <c r="K15" i="2" s="1"/>
  <c r="K14" i="2"/>
  <c r="I14" i="2"/>
  <c r="H14" i="2"/>
  <c r="G14" i="2"/>
  <c r="J14" i="2" s="1"/>
  <c r="K13" i="2"/>
  <c r="I13" i="2"/>
  <c r="H13" i="2"/>
  <c r="G13" i="2"/>
  <c r="J13" i="2" s="1"/>
  <c r="K12" i="2"/>
  <c r="I12" i="2"/>
  <c r="H12" i="2"/>
  <c r="G12" i="2"/>
  <c r="J12" i="2" s="1"/>
  <c r="J11" i="2"/>
  <c r="I11" i="2"/>
  <c r="H11" i="2"/>
  <c r="G11" i="2"/>
  <c r="K11" i="2" s="1"/>
  <c r="K10" i="2"/>
  <c r="I10" i="2"/>
  <c r="H10" i="2"/>
  <c r="G10" i="2"/>
  <c r="J10" i="2" s="1"/>
  <c r="J9" i="2"/>
  <c r="I9" i="2"/>
  <c r="H9" i="2"/>
  <c r="G9" i="2"/>
  <c r="K9" i="2" s="1"/>
  <c r="J8" i="2"/>
  <c r="I8" i="2"/>
  <c r="H8" i="2"/>
  <c r="G8" i="2"/>
  <c r="K8" i="2" s="1"/>
  <c r="K7" i="2"/>
  <c r="I7" i="2"/>
  <c r="H7" i="2"/>
  <c r="G7" i="2"/>
  <c r="J7" i="2" s="1"/>
  <c r="J6" i="2"/>
  <c r="I6" i="2"/>
  <c r="H6" i="2"/>
  <c r="G6" i="2"/>
  <c r="K6" i="2" s="1"/>
  <c r="O3" i="2"/>
  <c r="O5" i="2" s="1"/>
  <c r="N3" i="2"/>
  <c r="N5" i="2" s="1"/>
  <c r="P5" i="2" s="1"/>
  <c r="K36" i="1"/>
  <c r="I36" i="1"/>
  <c r="H36" i="1"/>
  <c r="G36" i="1"/>
  <c r="J36" i="1" s="1"/>
  <c r="K35" i="1"/>
  <c r="I35" i="1"/>
  <c r="H35" i="1"/>
  <c r="G35" i="1"/>
  <c r="J35" i="1" s="1"/>
  <c r="K34" i="1"/>
  <c r="I34" i="1"/>
  <c r="H34" i="1"/>
  <c r="G34" i="1"/>
  <c r="J34" i="1" s="1"/>
  <c r="J33" i="1"/>
  <c r="I33" i="1"/>
  <c r="H33" i="1"/>
  <c r="G33" i="1"/>
  <c r="K33" i="1" s="1"/>
  <c r="J32" i="1"/>
  <c r="I32" i="1"/>
  <c r="H32" i="1"/>
  <c r="G32" i="1"/>
  <c r="K32" i="1" s="1"/>
  <c r="J31" i="1"/>
  <c r="I31" i="1"/>
  <c r="H31" i="1"/>
  <c r="G31" i="1"/>
  <c r="K31" i="1" s="1"/>
  <c r="J30" i="1"/>
  <c r="I30" i="1"/>
  <c r="H30" i="1"/>
  <c r="G30" i="1"/>
  <c r="K30" i="1" s="1"/>
  <c r="K29" i="1"/>
  <c r="I29" i="1"/>
  <c r="H29" i="1"/>
  <c r="G29" i="1"/>
  <c r="J29" i="1" s="1"/>
  <c r="K28" i="1"/>
  <c r="I28" i="1"/>
  <c r="H28" i="1"/>
  <c r="G28" i="1"/>
  <c r="J28" i="1" s="1"/>
  <c r="K27" i="1"/>
  <c r="I27" i="1"/>
  <c r="H27" i="1"/>
  <c r="G27" i="1"/>
  <c r="J27" i="1" s="1"/>
  <c r="J26" i="1"/>
  <c r="I26" i="1"/>
  <c r="H26" i="1"/>
  <c r="G26" i="1"/>
  <c r="K26" i="1" s="1"/>
  <c r="J25" i="1"/>
  <c r="I25" i="1"/>
  <c r="H25" i="1"/>
  <c r="G25" i="1"/>
  <c r="K25" i="1" s="1"/>
  <c r="K24" i="1"/>
  <c r="I24" i="1"/>
  <c r="H24" i="1"/>
  <c r="G24" i="1"/>
  <c r="J24" i="1" s="1"/>
  <c r="K23" i="1"/>
  <c r="I23" i="1"/>
  <c r="H23" i="1"/>
  <c r="G23" i="1"/>
  <c r="J23" i="1" s="1"/>
  <c r="K22" i="1"/>
  <c r="I22" i="1"/>
  <c r="H22" i="1"/>
  <c r="G22" i="1"/>
  <c r="J22" i="1" s="1"/>
  <c r="K21" i="1"/>
  <c r="I21" i="1"/>
  <c r="H21" i="1"/>
  <c r="G21" i="1"/>
  <c r="J21" i="1" s="1"/>
  <c r="K20" i="1"/>
  <c r="I20" i="1"/>
  <c r="H20" i="1"/>
  <c r="G20" i="1"/>
  <c r="J20" i="1" s="1"/>
  <c r="J19" i="1"/>
  <c r="I19" i="1"/>
  <c r="H19" i="1"/>
  <c r="G19" i="1"/>
  <c r="K19" i="1" s="1"/>
  <c r="J18" i="1"/>
  <c r="I18" i="1"/>
  <c r="H18" i="1"/>
  <c r="G18" i="1"/>
  <c r="K18" i="1" s="1"/>
  <c r="K17" i="1"/>
  <c r="I17" i="1"/>
  <c r="H17" i="1"/>
  <c r="G17" i="1"/>
  <c r="J17" i="1" s="1"/>
  <c r="K16" i="1"/>
  <c r="I16" i="1"/>
  <c r="H16" i="1"/>
  <c r="G16" i="1"/>
  <c r="J16" i="1" s="1"/>
  <c r="K15" i="1"/>
  <c r="I15" i="1"/>
  <c r="H15" i="1"/>
  <c r="G15" i="1"/>
  <c r="J15" i="1" s="1"/>
  <c r="K14" i="1"/>
  <c r="I14" i="1"/>
  <c r="H14" i="1"/>
  <c r="G14" i="1"/>
  <c r="J14" i="1" s="1"/>
  <c r="J13" i="1"/>
  <c r="I13" i="1"/>
  <c r="H13" i="1"/>
  <c r="G13" i="1"/>
  <c r="K13" i="1" s="1"/>
  <c r="J12" i="1"/>
  <c r="I12" i="1"/>
  <c r="H12" i="1"/>
  <c r="G12" i="1"/>
  <c r="K12" i="1" s="1"/>
  <c r="J11" i="1"/>
  <c r="I11" i="1"/>
  <c r="H11" i="1"/>
  <c r="G11" i="1"/>
  <c r="K11" i="1" s="1"/>
  <c r="K10" i="1"/>
  <c r="I10" i="1"/>
  <c r="H10" i="1"/>
  <c r="G10" i="1"/>
  <c r="J10" i="1" s="1"/>
  <c r="K9" i="1"/>
  <c r="I9" i="1"/>
  <c r="H9" i="1"/>
  <c r="G9" i="1"/>
  <c r="J9" i="1" s="1"/>
  <c r="K8" i="1"/>
  <c r="I8" i="1"/>
  <c r="H8" i="1"/>
  <c r="G8" i="1"/>
  <c r="J8" i="1" s="1"/>
  <c r="K7" i="1"/>
  <c r="I7" i="1"/>
  <c r="H7" i="1"/>
  <c r="G7" i="1"/>
  <c r="J7" i="1" s="1"/>
  <c r="K6" i="1"/>
  <c r="I6" i="1"/>
  <c r="H6" i="1"/>
  <c r="G6" i="1"/>
  <c r="J6" i="1" s="1"/>
  <c r="O3" i="1"/>
  <c r="O5" i="1" s="1"/>
  <c r="N3" i="1"/>
  <c r="N5" i="1" s="1"/>
  <c r="P5" i="1" s="1"/>
</calcChain>
</file>

<file path=xl/sharedStrings.xml><?xml version="1.0" encoding="utf-8"?>
<sst xmlns="http://schemas.openxmlformats.org/spreadsheetml/2006/main" count="630" uniqueCount="33">
  <si>
    <t>TRABAJADOR</t>
  </si>
  <si>
    <t>MES</t>
  </si>
  <si>
    <t>H. EXT</t>
  </si>
  <si>
    <t>H.S/D EXT Festivos</t>
  </si>
  <si>
    <t>Diciembre</t>
  </si>
  <si>
    <t>total</t>
  </si>
  <si>
    <t>Día</t>
  </si>
  <si>
    <t>FECHAS</t>
  </si>
  <si>
    <t>ENTRADA</t>
  </si>
  <si>
    <t>SALIDA</t>
  </si>
  <si>
    <t>H.TRAB</t>
  </si>
  <si>
    <t>DESCONTAR</t>
  </si>
  <si>
    <t>H.LAB</t>
  </si>
  <si>
    <t>H EXT Festivos</t>
  </si>
  <si>
    <t>OBSERVACIONES</t>
  </si>
  <si>
    <t>Lu.</t>
  </si>
  <si>
    <t>Ma.</t>
  </si>
  <si>
    <t>Mi.</t>
  </si>
  <si>
    <t>Ju.</t>
  </si>
  <si>
    <t>Vi.</t>
  </si>
  <si>
    <t>Sá.</t>
  </si>
  <si>
    <t>Do.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</si>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</sst>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\ #,##0.00"/>
    <numFmt numFmtId="165" formatCode="hh:mm"/>
    <numFmt numFmtId="166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4"/>
    </font>
    <font>
      <b/>
      <sz val="11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66" fontId="0" fillId="0" borderId="0" xfId="0" applyNumberFormat="1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0" fontId="1" fillId="0" borderId="0" xfId="0" applyFont="1"/>
    <xf numFmtId="0" fontId="2" fillId="0" borderId="0" xfId="0" applyFont="1"/>
    <xf numFmtId="165" fontId="1" fillId="0" borderId="0" xfId="0" applyNumberFormat="1" applyFont="1"/>
    <xf numFmtId="2" fontId="2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/>
    <xf numFmtId="0" fontId="1" fillId="0" borderId="1" xfId="0" applyFont="1" applyBorder="1"/>
    <xf numFmtId="14" fontId="1" fillId="0" borderId="1" xfId="0" applyNumberFormat="1" applyFont="1" applyBorder="1"/>
    <xf numFmtId="165" fontId="1" fillId="0" borderId="1" xfId="0" applyNumberFormat="1" applyFont="1" applyBorder="1"/>
    <xf numFmtId="2" fontId="1" fillId="0" borderId="1" xfId="0" applyNumberFormat="1" applyFont="1" applyBorder="1"/>
    <xf numFmtId="0" fontId="1" fillId="3" borderId="1" xfId="0" applyFont="1" applyFill="1" applyBorder="1"/>
    <xf numFmtId="14" fontId="1" fillId="3" borderId="1" xfId="0" applyNumberFormat="1" applyFont="1" applyFill="1" applyBorder="1"/>
    <xf numFmtId="165" fontId="1" fillId="3" borderId="1" xfId="0" applyNumberFormat="1" applyFont="1" applyFill="1" applyBorder="1"/>
    <xf numFmtId="2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topLeftCell="A6" workbookViewId="0">
      <selection activeCell="C13" sqref="C13"/>
    </sheetView>
  </sheetViews>
  <sheetFormatPr baseColWidth="10" defaultColWidth="9.140625" defaultRowHeight="16.5" x14ac:dyDescent="0.3"/>
  <cols>
    <col min="1" max="1" width="4.7109375" style="2" bestFit="1" customWidth="1"/>
    <col min="2" max="2" width="13.5703125" style="2" bestFit="1" customWidth="1"/>
    <col min="3" max="3" width="11.85546875" style="2" bestFit="1" customWidth="1"/>
    <col min="4" max="4" width="9.7109375" style="2" bestFit="1" customWidth="1"/>
    <col min="5" max="5" width="11.85546875" style="2" bestFit="1" customWidth="1"/>
    <col min="6" max="6" width="11.42578125" style="2" bestFit="1" customWidth="1"/>
    <col min="7" max="7" width="9.7109375" style="2" bestFit="1" customWidth="1"/>
    <col min="8" max="8" width="14.7109375" style="2" bestFit="1" customWidth="1"/>
    <col min="9" max="9" width="8" style="2" customWidth="1"/>
    <col min="10" max="10" width="9.28515625" style="2" bestFit="1" customWidth="1"/>
    <col min="11" max="11" width="17.5703125" style="2" bestFit="1" customWidth="1"/>
    <col min="12" max="12" width="20.140625" style="2" bestFit="1" customWidth="1"/>
    <col min="13" max="13" width="9.140625" style="2"/>
    <col min="14" max="14" width="11.5703125" style="2" bestFit="1" customWidth="1"/>
    <col min="15" max="15" width="22.85546875" style="2" bestFit="1" customWidth="1"/>
    <col min="16" max="16" width="11.5703125" style="2" bestFit="1" customWidth="1"/>
    <col min="17" max="16384" width="9.140625" style="2"/>
  </cols>
  <sheetData>
    <row r="1" spans="1:16" ht="18" x14ac:dyDescent="0.35">
      <c r="N1" s="3">
        <v>9</v>
      </c>
      <c r="O1" s="3">
        <v>10</v>
      </c>
    </row>
    <row r="2" spans="1:16" ht="18" x14ac:dyDescent="0.35">
      <c r="C2" s="4" t="s">
        <v>0</v>
      </c>
      <c r="D2" s="5"/>
      <c r="F2" s="6" t="s">
        <v>1</v>
      </c>
      <c r="N2" s="6" t="s">
        <v>2</v>
      </c>
      <c r="O2" s="6" t="s">
        <v>3</v>
      </c>
    </row>
    <row r="3" spans="1:16" ht="18" x14ac:dyDescent="0.35">
      <c r="F3" s="6" t="s">
        <v>4</v>
      </c>
      <c r="H3" s="7">
        <v>2.0833333333333329E-2</v>
      </c>
      <c r="I3" s="7">
        <v>0.33333333333333331</v>
      </c>
      <c r="N3" s="8" t="e">
        <f>SUMPRODUCT((J6:J36&gt;0)*(J6:J36))</f>
        <v>#VALUE!</v>
      </c>
      <c r="O3" s="8">
        <f>SUM(K6:K36)</f>
        <v>0</v>
      </c>
    </row>
    <row r="4" spans="1:16" ht="18" x14ac:dyDescent="0.35">
      <c r="P4" s="6" t="s">
        <v>5</v>
      </c>
    </row>
    <row r="5" spans="1:16" ht="18" x14ac:dyDescent="0.35">
      <c r="A5" s="9" t="s">
        <v>6</v>
      </c>
      <c r="B5" s="9" t="s">
        <v>7</v>
      </c>
      <c r="C5" s="9" t="s">
        <v>8</v>
      </c>
      <c r="D5" s="9" t="s">
        <v>9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2</v>
      </c>
      <c r="K5" s="9" t="s">
        <v>13</v>
      </c>
      <c r="L5" s="9" t="s">
        <v>14</v>
      </c>
      <c r="N5" s="10" t="e">
        <f>N3*N1</f>
        <v>#VALUE!</v>
      </c>
      <c r="O5" s="10">
        <f>O3*O1</f>
        <v>0</v>
      </c>
      <c r="P5" s="10" t="e">
        <f>N5+O5</f>
        <v>#VALUE!</v>
      </c>
    </row>
    <row r="6" spans="1:16" x14ac:dyDescent="0.3">
      <c r="A6" s="11" t="s">
        <v>15</v>
      </c>
      <c r="B6" s="12">
        <v>45992</v>
      </c>
      <c r="C6" s="13">
        <v>0</v>
      </c>
      <c r="D6" s="13">
        <v>0</v>
      </c>
      <c r="E6" s="13">
        <v>0</v>
      </c>
      <c r="F6" s="13">
        <v>0</v>
      </c>
      <c r="G6" s="14">
        <f t="shared" ref="G6:G36" si="0">IF(AND(C6="",D6="",E6="",F6=""),0,(F6-E6+D6-C6)*24)</f>
        <v>0</v>
      </c>
      <c r="H6" s="14">
        <f>IF(OR(WEEKDAY($B6,2)&gt;5,COUNTIF(FESTIVOS!$A:$A,$B6)&gt;0),0,$H$3*24)</f>
        <v>0.49999999999999989</v>
      </c>
      <c r="I6" s="14">
        <f>IF(OR(WEEKDAY($B6,2)&gt;5,COUNTIF(FESTIVOS!$A:$A,$B6)&gt;0),0,$I$3*24)</f>
        <v>8</v>
      </c>
      <c r="J6" s="14">
        <f>IF(OR(WEEKDAY($B6,2)&gt;5,COUNTIF(FESTIVOS!$A:$A,$B6)&gt;0),"",G6-I6-H6)</f>
        <v>-8.5</v>
      </c>
      <c r="K6" s="14" t="str">
        <f>IF(OR(WEEKDAY($B6,2)&gt;5,COUNTIF(FESTIVOS!$A:$A,$B6)&gt;0),G6,"")</f>
        <v/>
      </c>
      <c r="L6" s="11"/>
    </row>
    <row r="7" spans="1:16" x14ac:dyDescent="0.3">
      <c r="A7" s="11" t="s">
        <v>16</v>
      </c>
      <c r="B7" s="12">
        <v>45993</v>
      </c>
      <c r="C7" s="13">
        <v>0</v>
      </c>
      <c r="D7" s="13">
        <v>0</v>
      </c>
      <c r="E7" s="13">
        <v>0</v>
      </c>
      <c r="F7" s="13">
        <v>0</v>
      </c>
      <c r="G7" s="14">
        <f t="shared" si="0"/>
        <v>0</v>
      </c>
      <c r="H7" s="14">
        <f>IF(OR(WEEKDAY($B7,2)&gt;5,COUNTIF(FESTIVOS!$A:$A,$B7)&gt;0),0,$H$3*24)</f>
        <v>0.49999999999999989</v>
      </c>
      <c r="I7" s="14">
        <f>IF(OR(WEEKDAY($B7,2)&gt;5,COUNTIF(FESTIVOS!$A:$A,$B7)&gt;0),0,$I$3*24)</f>
        <v>8</v>
      </c>
      <c r="J7" s="14">
        <f>IF(OR(WEEKDAY($B7,2)&gt;5,COUNTIF(FESTIVOS!$A:$A,$B7)&gt;0),"",G7-I7-H7)</f>
        <v>-8.5</v>
      </c>
      <c r="K7" s="14" t="str">
        <f>IF(OR(WEEKDAY($B7,2)&gt;5,COUNTIF(FESTIVOS!$A:$A,$B7)&gt;0),G7,"")</f>
        <v/>
      </c>
      <c r="L7" s="11"/>
    </row>
    <row r="8" spans="1:16" x14ac:dyDescent="0.3">
      <c r="A8" s="11" t="s">
        <v>17</v>
      </c>
      <c r="B8" s="12">
        <v>45994</v>
      </c>
      <c r="C8" s="13">
        <v>0</v>
      </c>
      <c r="D8" s="13">
        <v>0</v>
      </c>
      <c r="E8" s="13">
        <v>0</v>
      </c>
      <c r="F8" s="13">
        <v>0</v>
      </c>
      <c r="G8" s="14">
        <f t="shared" si="0"/>
        <v>0</v>
      </c>
      <c r="H8" s="14">
        <f>IF(OR(WEEKDAY($B8,2)&gt;5,COUNTIF(FESTIVOS!$A:$A,$B8)&gt;0),0,$H$3*24)</f>
        <v>0.49999999999999989</v>
      </c>
      <c r="I8" s="14">
        <f>IF(OR(WEEKDAY($B8,2)&gt;5,COUNTIF(FESTIVOS!$A:$A,$B8)&gt;0),0,$I$3*24)</f>
        <v>8</v>
      </c>
      <c r="J8" s="14">
        <f>IF(OR(WEEKDAY($B8,2)&gt;5,COUNTIF(FESTIVOS!$A:$A,$B8)&gt;0),"",G8-I8-H8)</f>
        <v>-8.5</v>
      </c>
      <c r="K8" s="14" t="str">
        <f>IF(OR(WEEKDAY($B8,2)&gt;5,COUNTIF(FESTIVOS!$A:$A,$B8)&gt;0),G8,"")</f>
        <v/>
      </c>
      <c r="L8" s="11"/>
    </row>
    <row r="9" spans="1:16" x14ac:dyDescent="0.3">
      <c r="A9" s="11" t="s">
        <v>18</v>
      </c>
      <c r="B9" s="12">
        <v>45995</v>
      </c>
      <c r="C9" s="13">
        <v>0</v>
      </c>
      <c r="D9" s="13">
        <v>0</v>
      </c>
      <c r="E9" s="13">
        <v>0</v>
      </c>
      <c r="F9" s="13">
        <v>0</v>
      </c>
      <c r="G9" s="14">
        <f t="shared" si="0"/>
        <v>0</v>
      </c>
      <c r="H9" s="14">
        <f>IF(OR(WEEKDAY($B9,2)&gt;5,COUNTIF(FESTIVOS!$A:$A,$B9)&gt;0),0,$H$3*24)</f>
        <v>0.49999999999999989</v>
      </c>
      <c r="I9" s="14">
        <f>IF(OR(WEEKDAY($B9,2)&gt;5,COUNTIF(FESTIVOS!$A:$A,$B9)&gt;0),0,$I$3*24)</f>
        <v>8</v>
      </c>
      <c r="J9" s="14">
        <f>IF(OR(WEEKDAY($B9,2)&gt;5,COUNTIF(FESTIVOS!$A:$A,$B9)&gt;0),"",G9-I9-H9)</f>
        <v>-8.5</v>
      </c>
      <c r="K9" s="14" t="str">
        <f>IF(OR(WEEKDAY($B9,2)&gt;5,COUNTIF(FESTIVOS!$A:$A,$B9)&gt;0),G9,"")</f>
        <v/>
      </c>
      <c r="L9" s="11"/>
    </row>
    <row r="10" spans="1:16" x14ac:dyDescent="0.3">
      <c r="A10" s="11" t="s">
        <v>19</v>
      </c>
      <c r="B10" s="12">
        <v>45996</v>
      </c>
      <c r="C10" s="13">
        <v>0</v>
      </c>
      <c r="D10" s="13">
        <v>0</v>
      </c>
      <c r="E10" s="13">
        <v>0</v>
      </c>
      <c r="F10" s="13">
        <v>0</v>
      </c>
      <c r="G10" s="14">
        <f t="shared" si="0"/>
        <v>0</v>
      </c>
      <c r="H10" s="14">
        <f>IF(OR(WEEKDAY($B10,2)&gt;5,COUNTIF(FESTIVOS!$A:$A,$B10)&gt;0),0,$H$3*24)</f>
        <v>0.49999999999999989</v>
      </c>
      <c r="I10" s="14">
        <f>IF(OR(WEEKDAY($B10,2)&gt;5,COUNTIF(FESTIVOS!$A:$A,$B10)&gt;0),0,$I$3*24)</f>
        <v>8</v>
      </c>
      <c r="J10" s="14">
        <f>IF(OR(WEEKDAY($B10,2)&gt;5,COUNTIF(FESTIVOS!$A:$A,$B10)&gt;0),"",G10-I10-H10)</f>
        <v>-8.5</v>
      </c>
      <c r="K10" s="14" t="str">
        <f>IF(OR(WEEKDAY($B10,2)&gt;5,COUNTIF(FESTIVOS!$A:$A,$B10)&gt;0),G10,"")</f>
        <v/>
      </c>
      <c r="L10" s="11"/>
    </row>
    <row r="11" spans="1:16" x14ac:dyDescent="0.3">
      <c r="A11" s="15" t="s">
        <v>20</v>
      </c>
      <c r="B11" s="16">
        <v>45997</v>
      </c>
      <c r="C11" s="17">
        <v>0</v>
      </c>
      <c r="D11" s="17">
        <v>0</v>
      </c>
      <c r="E11" s="17">
        <v>0</v>
      </c>
      <c r="F11" s="17">
        <v>0</v>
      </c>
      <c r="G11" s="18">
        <f t="shared" si="0"/>
        <v>0</v>
      </c>
      <c r="H11" s="18">
        <f>IF(OR(WEEKDAY($B11,2)&gt;5,COUNTIF(FESTIVOS!$A:$A,$B11)&gt;0),0,$H$3*24)</f>
        <v>0</v>
      </c>
      <c r="I11" s="18">
        <f>IF(OR(WEEKDAY($B11,2)&gt;5,COUNTIF(FESTIVOS!$A:$A,$B11)&gt;0),0,$I$3*24)</f>
        <v>0</v>
      </c>
      <c r="J11" s="18" t="str">
        <f>IF(OR(WEEKDAY($B11,2)&gt;5,COUNTIF(FESTIVOS!$A:$A,$B11)&gt;0),"",G11-I11-H11)</f>
        <v/>
      </c>
      <c r="K11" s="18">
        <f>IF(OR(WEEKDAY($B11,2)&gt;5,COUNTIF(FESTIVOS!$A:$A,$B11)&gt;0),G11,"")</f>
        <v>0</v>
      </c>
      <c r="L11" s="15"/>
    </row>
    <row r="12" spans="1:16" x14ac:dyDescent="0.3">
      <c r="A12" s="15" t="s">
        <v>21</v>
      </c>
      <c r="B12" s="16">
        <v>45998</v>
      </c>
      <c r="C12" s="17">
        <v>0</v>
      </c>
      <c r="D12" s="17">
        <v>0</v>
      </c>
      <c r="E12" s="17">
        <v>0</v>
      </c>
      <c r="F12" s="17">
        <v>0</v>
      </c>
      <c r="G12" s="18">
        <f t="shared" si="0"/>
        <v>0</v>
      </c>
      <c r="H12" s="18">
        <f>IF(OR(WEEKDAY($B12,2)&gt;5,COUNTIF(FESTIVOS!$A:$A,$B12)&gt;0),0,$H$3*24)</f>
        <v>0</v>
      </c>
      <c r="I12" s="18">
        <f>IF(OR(WEEKDAY($B12,2)&gt;5,COUNTIF(FESTIVOS!$A:$A,$B12)&gt;0),0,$I$3*24)</f>
        <v>0</v>
      </c>
      <c r="J12" s="18" t="str">
        <f>IF(OR(WEEKDAY($B12,2)&gt;5,COUNTIF(FESTIVOS!$A:$A,$B12)&gt;0),"",G12-I12-H12)</f>
        <v/>
      </c>
      <c r="K12" s="18">
        <f>IF(OR(WEEKDAY($B12,2)&gt;5,COUNTIF(FESTIVOS!$A:$A,$B12)&gt;0),G12,"")</f>
        <v>0</v>
      </c>
      <c r="L12" s="15"/>
    </row>
    <row r="13" spans="1:16" x14ac:dyDescent="0.3">
      <c r="A13" s="15" t="s">
        <v>15</v>
      </c>
      <c r="B13" s="16">
        <v>45999</v>
      </c>
      <c r="C13" s="17">
        <v>0</v>
      </c>
      <c r="D13" s="17">
        <v>0</v>
      </c>
      <c r="E13" s="17">
        <v>0</v>
      </c>
      <c r="F13" s="17">
        <v>0</v>
      </c>
      <c r="G13" s="18">
        <f t="shared" si="0"/>
        <v>0</v>
      </c>
      <c r="H13" s="18">
        <f>IF(OR(WEEKDAY($B13,2)&gt;5,COUNTIF(FESTIVOS!$A:$A,$B13)&gt;0),0,$H$3*24)</f>
        <v>0</v>
      </c>
      <c r="I13" s="18">
        <f>IF(OR(WEEKDAY($B13,2)&gt;5,COUNTIF(FESTIVOS!$A:$A,$B13)&gt;0),0,$I$3*24)</f>
        <v>0</v>
      </c>
      <c r="J13" s="18" t="str">
        <f>IF(OR(WEEKDAY($B13,2)&gt;5,COUNTIF(FESTIVOS!$A:$A,$B13)&gt;0),"",G13-I13-H13)</f>
        <v/>
      </c>
      <c r="K13" s="18">
        <f>IF(OR(WEEKDAY($B13,2)&gt;5,COUNTIF(FESTIVOS!$A:$A,$B13)&gt;0),G13,"")</f>
        <v>0</v>
      </c>
      <c r="L13" s="15"/>
    </row>
    <row r="14" spans="1:16" x14ac:dyDescent="0.3">
      <c r="A14" s="11" t="s">
        <v>16</v>
      </c>
      <c r="B14" s="12">
        <v>46000</v>
      </c>
      <c r="C14" s="13">
        <v>0</v>
      </c>
      <c r="D14" s="13">
        <v>0</v>
      </c>
      <c r="E14" s="13">
        <v>0</v>
      </c>
      <c r="F14" s="13">
        <v>0</v>
      </c>
      <c r="G14" s="14">
        <f t="shared" si="0"/>
        <v>0</v>
      </c>
      <c r="H14" s="14">
        <f>IF(OR(WEEKDAY($B14,2)&gt;5,COUNTIF(FESTIVOS!$A:$A,$B14)&gt;0),0,$H$3*24)</f>
        <v>0.49999999999999989</v>
      </c>
      <c r="I14" s="14">
        <f>IF(OR(WEEKDAY($B14,2)&gt;5,COUNTIF(FESTIVOS!$A:$A,$B14)&gt;0),0,$I$3*24)</f>
        <v>8</v>
      </c>
      <c r="J14" s="14">
        <f>IF(OR(WEEKDAY($B14,2)&gt;5,COUNTIF(FESTIVOS!$A:$A,$B14)&gt;0),"",G14-I14-H14)</f>
        <v>-8.5</v>
      </c>
      <c r="K14" s="14" t="str">
        <f>IF(OR(WEEKDAY($B14,2)&gt;5,COUNTIF(FESTIVOS!$A:$A,$B14)&gt;0),G14,"")</f>
        <v/>
      </c>
      <c r="L14" s="11"/>
    </row>
    <row r="15" spans="1:16" x14ac:dyDescent="0.3">
      <c r="A15" s="11" t="s">
        <v>17</v>
      </c>
      <c r="B15" s="12">
        <v>46001</v>
      </c>
      <c r="C15" s="13">
        <v>0</v>
      </c>
      <c r="D15" s="13">
        <v>0</v>
      </c>
      <c r="E15" s="13">
        <v>0</v>
      </c>
      <c r="F15" s="13">
        <v>0</v>
      </c>
      <c r="G15" s="14">
        <f t="shared" si="0"/>
        <v>0</v>
      </c>
      <c r="H15" s="14">
        <f>IF(OR(WEEKDAY($B15,2)&gt;5,COUNTIF(FESTIVOS!$A:$A,$B15)&gt;0),0,$H$3*24)</f>
        <v>0.49999999999999989</v>
      </c>
      <c r="I15" s="14">
        <f>IF(OR(WEEKDAY($B15,2)&gt;5,COUNTIF(FESTIVOS!$A:$A,$B15)&gt;0),0,$I$3*24)</f>
        <v>8</v>
      </c>
      <c r="J15" s="14">
        <f>IF(OR(WEEKDAY($B15,2)&gt;5,COUNTIF(FESTIVOS!$A:$A,$B15)&gt;0),"",G15-I15-H15)</f>
        <v>-8.5</v>
      </c>
      <c r="K15" s="14" t="str">
        <f>IF(OR(WEEKDAY($B15,2)&gt;5,COUNTIF(FESTIVOS!$A:$A,$B15)&gt;0),G15,"")</f>
        <v/>
      </c>
      <c r="L15" s="11"/>
    </row>
    <row r="16" spans="1:16" x14ac:dyDescent="0.3">
      <c r="A16" s="11" t="s">
        <v>18</v>
      </c>
      <c r="B16" s="12">
        <v>46002</v>
      </c>
      <c r="C16" s="13">
        <v>0</v>
      </c>
      <c r="D16" s="13">
        <v>0</v>
      </c>
      <c r="E16" s="13">
        <v>0</v>
      </c>
      <c r="F16" s="13">
        <v>0</v>
      </c>
      <c r="G16" s="14">
        <f t="shared" si="0"/>
        <v>0</v>
      </c>
      <c r="H16" s="14">
        <f>IF(OR(WEEKDAY($B16,2)&gt;5,COUNTIF(FESTIVOS!$A:$A,$B16)&gt;0),0,$H$3*24)</f>
        <v>0.49999999999999989</v>
      </c>
      <c r="I16" s="14">
        <f>IF(OR(WEEKDAY($B16,2)&gt;5,COUNTIF(FESTIVOS!$A:$A,$B16)&gt;0),0,$I$3*24)</f>
        <v>8</v>
      </c>
      <c r="J16" s="14">
        <f>IF(OR(WEEKDAY($B16,2)&gt;5,COUNTIF(FESTIVOS!$A:$A,$B16)&gt;0),"",G16-I16-H16)</f>
        <v>-8.5</v>
      </c>
      <c r="K16" s="14" t="str">
        <f>IF(OR(WEEKDAY($B16,2)&gt;5,COUNTIF(FESTIVOS!$A:$A,$B16)&gt;0),G16,"")</f>
        <v/>
      </c>
      <c r="L16" s="11"/>
    </row>
    <row r="17" spans="1:12" x14ac:dyDescent="0.3">
      <c r="A17" s="11" t="s">
        <v>19</v>
      </c>
      <c r="B17" s="12">
        <v>46003</v>
      </c>
      <c r="C17" s="13">
        <v>0</v>
      </c>
      <c r="D17" s="13">
        <v>0</v>
      </c>
      <c r="E17" s="13">
        <v>0</v>
      </c>
      <c r="F17" s="13">
        <v>0</v>
      </c>
      <c r="G17" s="14">
        <f t="shared" si="0"/>
        <v>0</v>
      </c>
      <c r="H17" s="14">
        <f>IF(OR(WEEKDAY($B17,2)&gt;5,COUNTIF(FESTIVOS!$A:$A,$B17)&gt;0),0,$H$3*24)</f>
        <v>0.49999999999999989</v>
      </c>
      <c r="I17" s="14">
        <f>IF(OR(WEEKDAY($B17,2)&gt;5,COUNTIF(FESTIVOS!$A:$A,$B17)&gt;0),0,$I$3*24)</f>
        <v>8</v>
      </c>
      <c r="J17" s="14">
        <f>IF(OR(WEEKDAY($B17,2)&gt;5,COUNTIF(FESTIVOS!$A:$A,$B17)&gt;0),"",G17-I17-H17)</f>
        <v>-8.5</v>
      </c>
      <c r="K17" s="14" t="str">
        <f>IF(OR(WEEKDAY($B17,2)&gt;5,COUNTIF(FESTIVOS!$A:$A,$B17)&gt;0),G17,"")</f>
        <v/>
      </c>
      <c r="L17" s="11"/>
    </row>
    <row r="18" spans="1:12" x14ac:dyDescent="0.3">
      <c r="A18" s="15" t="s">
        <v>20</v>
      </c>
      <c r="B18" s="16">
        <v>46004</v>
      </c>
      <c r="C18" s="17">
        <v>0</v>
      </c>
      <c r="D18" s="17">
        <v>0</v>
      </c>
      <c r="E18" s="17">
        <v>0</v>
      </c>
      <c r="F18" s="17">
        <v>0</v>
      </c>
      <c r="G18" s="18">
        <f t="shared" si="0"/>
        <v>0</v>
      </c>
      <c r="H18" s="18">
        <f>IF(OR(WEEKDAY($B18,2)&gt;5,COUNTIF(FESTIVOS!$A:$A,$B18)&gt;0),0,$H$3*24)</f>
        <v>0</v>
      </c>
      <c r="I18" s="18">
        <f>IF(OR(WEEKDAY($B18,2)&gt;5,COUNTIF(FESTIVOS!$A:$A,$B18)&gt;0),0,$I$3*24)</f>
        <v>0</v>
      </c>
      <c r="J18" s="18" t="str">
        <f>IF(OR(WEEKDAY($B18,2)&gt;5,COUNTIF(FESTIVOS!$A:$A,$B18)&gt;0),"",G18-I18-H18)</f>
        <v/>
      </c>
      <c r="K18" s="18">
        <f>IF(OR(WEEKDAY($B18,2)&gt;5,COUNTIF(FESTIVOS!$A:$A,$B18)&gt;0),G18,"")</f>
        <v>0</v>
      </c>
      <c r="L18" s="15"/>
    </row>
    <row r="19" spans="1:12" x14ac:dyDescent="0.3">
      <c r="A19" s="15" t="s">
        <v>21</v>
      </c>
      <c r="B19" s="16">
        <v>46005</v>
      </c>
      <c r="C19" s="17">
        <v>0</v>
      </c>
      <c r="D19" s="17">
        <v>0</v>
      </c>
      <c r="E19" s="17">
        <v>0</v>
      </c>
      <c r="F19" s="17">
        <v>0</v>
      </c>
      <c r="G19" s="18">
        <f t="shared" si="0"/>
        <v>0</v>
      </c>
      <c r="H19" s="18">
        <f>IF(OR(WEEKDAY($B19,2)&gt;5,COUNTIF(FESTIVOS!$A:$A,$B19)&gt;0),0,$H$3*24)</f>
        <v>0</v>
      </c>
      <c r="I19" s="18">
        <f>IF(OR(WEEKDAY($B19,2)&gt;5,COUNTIF(FESTIVOS!$A:$A,$B19)&gt;0),0,$I$3*24)</f>
        <v>0</v>
      </c>
      <c r="J19" s="18" t="str">
        <f>IF(OR(WEEKDAY($B19,2)&gt;5,COUNTIF(FESTIVOS!$A:$A,$B19)&gt;0),"",G19-I19-H19)</f>
        <v/>
      </c>
      <c r="K19" s="18">
        <f>IF(OR(WEEKDAY($B19,2)&gt;5,COUNTIF(FESTIVOS!$A:$A,$B19)&gt;0),G19,"")</f>
        <v>0</v>
      </c>
      <c r="L19" s="15"/>
    </row>
    <row r="20" spans="1:12" x14ac:dyDescent="0.3">
      <c r="A20" s="11" t="s">
        <v>15</v>
      </c>
      <c r="B20" s="12">
        <v>46006</v>
      </c>
      <c r="C20" s="13">
        <v>0</v>
      </c>
      <c r="D20" s="13">
        <v>0</v>
      </c>
      <c r="E20" s="13">
        <v>0</v>
      </c>
      <c r="F20" s="13">
        <v>0</v>
      </c>
      <c r="G20" s="14">
        <f t="shared" si="0"/>
        <v>0</v>
      </c>
      <c r="H20" s="14">
        <f>IF(OR(WEEKDAY($B20,2)&gt;5,COUNTIF(FESTIVOS!$A:$A,$B20)&gt;0),0,$H$3*24)</f>
        <v>0.49999999999999989</v>
      </c>
      <c r="I20" s="14">
        <f>IF(OR(WEEKDAY($B20,2)&gt;5,COUNTIF(FESTIVOS!$A:$A,$B20)&gt;0),0,$I$3*24)</f>
        <v>8</v>
      </c>
      <c r="J20" s="14">
        <f>IF(OR(WEEKDAY($B20,2)&gt;5,COUNTIF(FESTIVOS!$A:$A,$B20)&gt;0),"",G20-I20-H20)</f>
        <v>-8.5</v>
      </c>
      <c r="K20" s="14" t="str">
        <f>IF(OR(WEEKDAY($B20,2)&gt;5,COUNTIF(FESTIVOS!$A:$A,$B20)&gt;0),G20,"")</f>
        <v/>
      </c>
      <c r="L20" s="11"/>
    </row>
    <row r="21" spans="1:12" x14ac:dyDescent="0.3">
      <c r="A21" s="11" t="s">
        <v>16</v>
      </c>
      <c r="B21" s="12">
        <v>46007</v>
      </c>
      <c r="C21" s="13">
        <v>0</v>
      </c>
      <c r="D21" s="13">
        <v>0</v>
      </c>
      <c r="E21" s="13">
        <v>0</v>
      </c>
      <c r="F21" s="13">
        <v>0</v>
      </c>
      <c r="G21" s="14">
        <f t="shared" si="0"/>
        <v>0</v>
      </c>
      <c r="H21" s="14">
        <f>IF(OR(WEEKDAY($B21,2)&gt;5,COUNTIF(FESTIVOS!$A:$A,$B21)&gt;0),0,$H$3*24)</f>
        <v>0.49999999999999989</v>
      </c>
      <c r="I21" s="14">
        <f>IF(OR(WEEKDAY($B21,2)&gt;5,COUNTIF(FESTIVOS!$A:$A,$B21)&gt;0),0,$I$3*24)</f>
        <v>8</v>
      </c>
      <c r="J21" s="14">
        <f>IF(OR(WEEKDAY($B21,2)&gt;5,COUNTIF(FESTIVOS!$A:$A,$B21)&gt;0),"",G21-I21-H21)</f>
        <v>-8.5</v>
      </c>
      <c r="K21" s="14" t="str">
        <f>IF(OR(WEEKDAY($B21,2)&gt;5,COUNTIF(FESTIVOS!$A:$A,$B21)&gt;0),G21,"")</f>
        <v/>
      </c>
      <c r="L21" s="11"/>
    </row>
    <row r="22" spans="1:12" x14ac:dyDescent="0.3">
      <c r="A22" s="11" t="s">
        <v>17</v>
      </c>
      <c r="B22" s="12">
        <v>46008</v>
      </c>
      <c r="C22" s="13">
        <v>0</v>
      </c>
      <c r="D22" s="13">
        <v>0</v>
      </c>
      <c r="E22" s="13">
        <v>0</v>
      </c>
      <c r="F22" s="13">
        <v>0</v>
      </c>
      <c r="G22" s="14">
        <f t="shared" si="0"/>
        <v>0</v>
      </c>
      <c r="H22" s="14">
        <f>IF(OR(WEEKDAY($B22,2)&gt;5,COUNTIF(FESTIVOS!$A:$A,$B22)&gt;0),0,$H$3*24)</f>
        <v>0.49999999999999989</v>
      </c>
      <c r="I22" s="14">
        <f>IF(OR(WEEKDAY($B22,2)&gt;5,COUNTIF(FESTIVOS!$A:$A,$B22)&gt;0),0,$I$3*24)</f>
        <v>8</v>
      </c>
      <c r="J22" s="14">
        <f>IF(OR(WEEKDAY($B22,2)&gt;5,COUNTIF(FESTIVOS!$A:$A,$B22)&gt;0),"",G22-I22-H22)</f>
        <v>-8.5</v>
      </c>
      <c r="K22" s="14" t="str">
        <f>IF(OR(WEEKDAY($B22,2)&gt;5,COUNTIF(FESTIVOS!$A:$A,$B22)&gt;0),G22,"")</f>
        <v/>
      </c>
      <c r="L22" s="11"/>
    </row>
    <row r="23" spans="1:12" x14ac:dyDescent="0.3">
      <c r="A23" s="11" t="s">
        <v>18</v>
      </c>
      <c r="B23" s="12">
        <v>46009</v>
      </c>
      <c r="C23" s="13">
        <v>0</v>
      </c>
      <c r="D23" s="13">
        <v>0</v>
      </c>
      <c r="E23" s="13">
        <v>0</v>
      </c>
      <c r="F23" s="13">
        <v>0</v>
      </c>
      <c r="G23" s="14">
        <f t="shared" si="0"/>
        <v>0</v>
      </c>
      <c r="H23" s="14">
        <f>IF(OR(WEEKDAY($B23,2)&gt;5,COUNTIF(FESTIVOS!$A:$A,$B23)&gt;0),0,$H$3*24)</f>
        <v>0.49999999999999989</v>
      </c>
      <c r="I23" s="14">
        <f>IF(OR(WEEKDAY($B23,2)&gt;5,COUNTIF(FESTIVOS!$A:$A,$B23)&gt;0),0,$I$3*24)</f>
        <v>8</v>
      </c>
      <c r="J23" s="14">
        <f>IF(OR(WEEKDAY($B23,2)&gt;5,COUNTIF(FESTIVOS!$A:$A,$B23)&gt;0),"",G23-I23-H23)</f>
        <v>-8.5</v>
      </c>
      <c r="K23" s="14" t="str">
        <f>IF(OR(WEEKDAY($B23,2)&gt;5,COUNTIF(FESTIVOS!$A:$A,$B23)&gt;0),G23,"")</f>
        <v/>
      </c>
      <c r="L23" s="11"/>
    </row>
    <row r="24" spans="1:12" x14ac:dyDescent="0.3">
      <c r="A24" s="11" t="s">
        <v>19</v>
      </c>
      <c r="B24" s="12">
        <v>46010</v>
      </c>
      <c r="C24" s="13">
        <v>0</v>
      </c>
      <c r="D24" s="13">
        <v>0</v>
      </c>
      <c r="E24" s="13">
        <v>0</v>
      </c>
      <c r="F24" s="13">
        <v>0</v>
      </c>
      <c r="G24" s="14">
        <f t="shared" si="0"/>
        <v>0</v>
      </c>
      <c r="H24" s="14">
        <f>IF(OR(WEEKDAY($B24,2)&gt;5,COUNTIF(FESTIVOS!$A:$A,$B24)&gt;0),0,$H$3*24)</f>
        <v>0.49999999999999989</v>
      </c>
      <c r="I24" s="14">
        <f>IF(OR(WEEKDAY($B24,2)&gt;5,COUNTIF(FESTIVOS!$A:$A,$B24)&gt;0),0,$I$3*24)</f>
        <v>8</v>
      </c>
      <c r="J24" s="14">
        <f>IF(OR(WEEKDAY($B24,2)&gt;5,COUNTIF(FESTIVOS!$A:$A,$B24)&gt;0),"",G24-I24-H24)</f>
        <v>-8.5</v>
      </c>
      <c r="K24" s="14" t="str">
        <f>IF(OR(WEEKDAY($B24,2)&gt;5,COUNTIF(FESTIVOS!$A:$A,$B24)&gt;0),G24,"")</f>
        <v/>
      </c>
      <c r="L24" s="11"/>
    </row>
    <row r="25" spans="1:12" x14ac:dyDescent="0.3">
      <c r="A25" s="15" t="s">
        <v>20</v>
      </c>
      <c r="B25" s="16">
        <v>46011</v>
      </c>
      <c r="C25" s="17">
        <v>0</v>
      </c>
      <c r="D25" s="17">
        <v>0</v>
      </c>
      <c r="E25" s="17">
        <v>0</v>
      </c>
      <c r="F25" s="17">
        <v>0</v>
      </c>
      <c r="G25" s="18">
        <f t="shared" si="0"/>
        <v>0</v>
      </c>
      <c r="H25" s="18">
        <f>IF(OR(WEEKDAY($B25,2)&gt;5,COUNTIF(FESTIVOS!$A:$A,$B25)&gt;0),0,$H$3*24)</f>
        <v>0</v>
      </c>
      <c r="I25" s="18">
        <f>IF(OR(WEEKDAY($B25,2)&gt;5,COUNTIF(FESTIVOS!$A:$A,$B25)&gt;0),0,$I$3*24)</f>
        <v>0</v>
      </c>
      <c r="J25" s="18" t="str">
        <f>IF(OR(WEEKDAY($B25,2)&gt;5,COUNTIF(FESTIVOS!$A:$A,$B25)&gt;0),"",G25-I25-H25)</f>
        <v/>
      </c>
      <c r="K25" s="18">
        <f>IF(OR(WEEKDAY($B25,2)&gt;5,COUNTIF(FESTIVOS!$A:$A,$B25)&gt;0),G25,"")</f>
        <v>0</v>
      </c>
      <c r="L25" s="15"/>
    </row>
    <row r="26" spans="1:12" x14ac:dyDescent="0.3">
      <c r="A26" s="15" t="s">
        <v>21</v>
      </c>
      <c r="B26" s="16">
        <v>46012</v>
      </c>
      <c r="C26" s="17">
        <v>0</v>
      </c>
      <c r="D26" s="17">
        <v>0</v>
      </c>
      <c r="E26" s="17">
        <v>0</v>
      </c>
      <c r="F26" s="17">
        <v>0</v>
      </c>
      <c r="G26" s="18">
        <f t="shared" si="0"/>
        <v>0</v>
      </c>
      <c r="H26" s="18">
        <f>IF(OR(WEEKDAY($B26,2)&gt;5,COUNTIF(FESTIVOS!$A:$A,$B26)&gt;0),0,$H$3*24)</f>
        <v>0</v>
      </c>
      <c r="I26" s="18">
        <f>IF(OR(WEEKDAY($B26,2)&gt;5,COUNTIF(FESTIVOS!$A:$A,$B26)&gt;0),0,$I$3*24)</f>
        <v>0</v>
      </c>
      <c r="J26" s="18" t="str">
        <f>IF(OR(WEEKDAY($B26,2)&gt;5,COUNTIF(FESTIVOS!$A:$A,$B26)&gt;0),"",G26-I26-H26)</f>
        <v/>
      </c>
      <c r="K26" s="18">
        <f>IF(OR(WEEKDAY($B26,2)&gt;5,COUNTIF(FESTIVOS!$A:$A,$B26)&gt;0),G26,"")</f>
        <v>0</v>
      </c>
      <c r="L26" s="15"/>
    </row>
    <row r="27" spans="1:12" x14ac:dyDescent="0.3">
      <c r="A27" s="11" t="s">
        <v>15</v>
      </c>
      <c r="B27" s="12">
        <v>46013</v>
      </c>
      <c r="C27" s="13">
        <v>0</v>
      </c>
      <c r="D27" s="13">
        <v>0</v>
      </c>
      <c r="E27" s="13">
        <v>0</v>
      </c>
      <c r="F27" s="13">
        <v>0</v>
      </c>
      <c r="G27" s="14">
        <f t="shared" si="0"/>
        <v>0</v>
      </c>
      <c r="H27" s="14">
        <f>IF(OR(WEEKDAY($B27,2)&gt;5,COUNTIF(FESTIVOS!$A:$A,$B27)&gt;0),0,$H$3*24)</f>
        <v>0.49999999999999989</v>
      </c>
      <c r="I27" s="14">
        <f>IF(OR(WEEKDAY($B27,2)&gt;5,COUNTIF(FESTIVOS!$A:$A,$B27)&gt;0),0,$I$3*24)</f>
        <v>8</v>
      </c>
      <c r="J27" s="14">
        <f>IF(OR(WEEKDAY($B27,2)&gt;5,COUNTIF(FESTIVOS!$A:$A,$B27)&gt;0),"",G27-I27-H27)</f>
        <v>-8.5</v>
      </c>
      <c r="K27" s="14" t="str">
        <f>IF(OR(WEEKDAY($B27,2)&gt;5,COUNTIF(FESTIVOS!$A:$A,$B27)&gt;0),G27,"")</f>
        <v/>
      </c>
      <c r="L27" s="11"/>
    </row>
    <row r="28" spans="1:12" x14ac:dyDescent="0.3">
      <c r="A28" s="11" t="s">
        <v>16</v>
      </c>
      <c r="B28" s="12">
        <v>46014</v>
      </c>
      <c r="C28" s="13">
        <v>0</v>
      </c>
      <c r="D28" s="13">
        <v>0</v>
      </c>
      <c r="E28" s="13">
        <v>0</v>
      </c>
      <c r="F28" s="13">
        <v>0</v>
      </c>
      <c r="G28" s="14">
        <f t="shared" si="0"/>
        <v>0</v>
      </c>
      <c r="H28" s="14">
        <f>IF(OR(WEEKDAY($B28,2)&gt;5,COUNTIF(FESTIVOS!$A:$A,$B28)&gt;0),0,$H$3*24)</f>
        <v>0.49999999999999989</v>
      </c>
      <c r="I28" s="14">
        <f>IF(OR(WEEKDAY($B28,2)&gt;5,COUNTIF(FESTIVOS!$A:$A,$B28)&gt;0),0,$I$3*24)</f>
        <v>8</v>
      </c>
      <c r="J28" s="14">
        <f>IF(OR(WEEKDAY($B28,2)&gt;5,COUNTIF(FESTIVOS!$A:$A,$B28)&gt;0),"",G28-I28-H28)</f>
        <v>-8.5</v>
      </c>
      <c r="K28" s="14" t="str">
        <f>IF(OR(WEEKDAY($B28,2)&gt;5,COUNTIF(FESTIVOS!$A:$A,$B28)&gt;0),G28,"")</f>
        <v/>
      </c>
      <c r="L28" s="11"/>
    </row>
    <row r="29" spans="1:12" x14ac:dyDescent="0.3">
      <c r="A29" s="11" t="s">
        <v>17</v>
      </c>
      <c r="B29" s="12">
        <v>46015</v>
      </c>
      <c r="C29" s="13">
        <v>0</v>
      </c>
      <c r="D29" s="13">
        <v>0</v>
      </c>
      <c r="E29" s="13">
        <v>0</v>
      </c>
      <c r="F29" s="13">
        <v>0</v>
      </c>
      <c r="G29" s="14">
        <f t="shared" si="0"/>
        <v>0</v>
      </c>
      <c r="H29" s="14">
        <f>IF(OR(WEEKDAY($B29,2)&gt;5,COUNTIF(FESTIVOS!$A:$A,$B29)&gt;0),0,$H$3*24)</f>
        <v>0.49999999999999989</v>
      </c>
      <c r="I29" s="14">
        <f>IF(OR(WEEKDAY($B29,2)&gt;5,COUNTIF(FESTIVOS!$A:$A,$B29)&gt;0),0,$I$3*24)</f>
        <v>8</v>
      </c>
      <c r="J29" s="14">
        <f>IF(OR(WEEKDAY($B29,2)&gt;5,COUNTIF(FESTIVOS!$A:$A,$B29)&gt;0),"",G29-I29-H29)</f>
        <v>-8.5</v>
      </c>
      <c r="K29" s="14" t="str">
        <f>IF(OR(WEEKDAY($B29,2)&gt;5,COUNTIF(FESTIVOS!$A:$A,$B29)&gt;0),G29,"")</f>
        <v/>
      </c>
      <c r="L29" s="11"/>
    </row>
    <row r="30" spans="1:12" x14ac:dyDescent="0.3">
      <c r="A30" s="15" t="s">
        <v>18</v>
      </c>
      <c r="B30" s="16">
        <v>46016</v>
      </c>
      <c r="C30" s="17">
        <v>0</v>
      </c>
      <c r="D30" s="17">
        <v>0</v>
      </c>
      <c r="E30" s="17">
        <v>0</v>
      </c>
      <c r="F30" s="17">
        <v>0</v>
      </c>
      <c r="G30" s="18">
        <f t="shared" si="0"/>
        <v>0</v>
      </c>
      <c r="H30" s="18">
        <f>IF(OR(WEEKDAY($B30,2)&gt;5,COUNTIF(FESTIVOS!$A:$A,$B30)&gt;0),0,$H$3*24)</f>
        <v>0</v>
      </c>
      <c r="I30" s="18">
        <f>IF(OR(WEEKDAY($B30,2)&gt;5,COUNTIF(FESTIVOS!$A:$A,$B30)&gt;0),0,$I$3*24)</f>
        <v>0</v>
      </c>
      <c r="J30" s="18" t="str">
        <f>IF(OR(WEEKDAY($B30,2)&gt;5,COUNTIF(FESTIVOS!$A:$A,$B30)&gt;0),"",G30-I30-H30)</f>
        <v/>
      </c>
      <c r="K30" s="18">
        <f>IF(OR(WEEKDAY($B30,2)&gt;5,COUNTIF(FESTIVOS!$A:$A,$B30)&gt;0),G30,"")</f>
        <v>0</v>
      </c>
      <c r="L30" s="15"/>
    </row>
    <row r="31" spans="1:12" x14ac:dyDescent="0.3">
      <c r="A31" s="15" t="s">
        <v>19</v>
      </c>
      <c r="B31" s="16">
        <v>46017</v>
      </c>
      <c r="C31" s="17">
        <v>0</v>
      </c>
      <c r="D31" s="17">
        <v>0</v>
      </c>
      <c r="E31" s="17">
        <v>0</v>
      </c>
      <c r="F31" s="17">
        <v>0</v>
      </c>
      <c r="G31" s="18">
        <f t="shared" si="0"/>
        <v>0</v>
      </c>
      <c r="H31" s="18">
        <f>IF(OR(WEEKDAY($B31,2)&gt;5,COUNTIF(FESTIVOS!$A:$A,$B31)&gt;0),0,$H$3*24)</f>
        <v>0</v>
      </c>
      <c r="I31" s="18">
        <f>IF(OR(WEEKDAY($B31,2)&gt;5,COUNTIF(FESTIVOS!$A:$A,$B31)&gt;0),0,$I$3*24)</f>
        <v>0</v>
      </c>
      <c r="J31" s="18" t="str">
        <f>IF(OR(WEEKDAY($B31,2)&gt;5,COUNTIF(FESTIVOS!$A:$A,$B31)&gt;0),"",G31-I31-H31)</f>
        <v/>
      </c>
      <c r="K31" s="18">
        <f>IF(OR(WEEKDAY($B31,2)&gt;5,COUNTIF(FESTIVOS!$A:$A,$B31)&gt;0),G31,"")</f>
        <v>0</v>
      </c>
      <c r="L31" s="15"/>
    </row>
    <row r="32" spans="1:12" x14ac:dyDescent="0.3">
      <c r="A32" s="15" t="s">
        <v>20</v>
      </c>
      <c r="B32" s="16">
        <v>46018</v>
      </c>
      <c r="C32" s="17">
        <v>0</v>
      </c>
      <c r="D32" s="17">
        <v>0</v>
      </c>
      <c r="E32" s="17">
        <v>0</v>
      </c>
      <c r="F32" s="17">
        <v>0</v>
      </c>
      <c r="G32" s="18">
        <f t="shared" si="0"/>
        <v>0</v>
      </c>
      <c r="H32" s="18">
        <f>IF(OR(WEEKDAY($B32,2)&gt;5,COUNTIF(FESTIVOS!$A:$A,$B32)&gt;0),0,$H$3*24)</f>
        <v>0</v>
      </c>
      <c r="I32" s="18">
        <f>IF(OR(WEEKDAY($B32,2)&gt;5,COUNTIF(FESTIVOS!$A:$A,$B32)&gt;0),0,$I$3*24)</f>
        <v>0</v>
      </c>
      <c r="J32" s="18" t="str">
        <f>IF(OR(WEEKDAY($B32,2)&gt;5,COUNTIF(FESTIVOS!$A:$A,$B32)&gt;0),"",G32-I32-H32)</f>
        <v/>
      </c>
      <c r="K32" s="18">
        <f>IF(OR(WEEKDAY($B32,2)&gt;5,COUNTIF(FESTIVOS!$A:$A,$B32)&gt;0),G32,"")</f>
        <v>0</v>
      </c>
      <c r="L32" s="15"/>
    </row>
    <row r="33" spans="1:12" x14ac:dyDescent="0.3">
      <c r="A33" s="15" t="s">
        <v>21</v>
      </c>
      <c r="B33" s="16">
        <v>46019</v>
      </c>
      <c r="C33" s="17">
        <v>0</v>
      </c>
      <c r="D33" s="17">
        <v>0</v>
      </c>
      <c r="E33" s="17">
        <v>0</v>
      </c>
      <c r="F33" s="17">
        <v>0</v>
      </c>
      <c r="G33" s="18">
        <f t="shared" si="0"/>
        <v>0</v>
      </c>
      <c r="H33" s="18">
        <f>IF(OR(WEEKDAY($B33,2)&gt;5,COUNTIF(FESTIVOS!$A:$A,$B33)&gt;0),0,$H$3*24)</f>
        <v>0</v>
      </c>
      <c r="I33" s="18">
        <f>IF(OR(WEEKDAY($B33,2)&gt;5,COUNTIF(FESTIVOS!$A:$A,$B33)&gt;0),0,$I$3*24)</f>
        <v>0</v>
      </c>
      <c r="J33" s="18" t="str">
        <f>IF(OR(WEEKDAY($B33,2)&gt;5,COUNTIF(FESTIVOS!$A:$A,$B33)&gt;0),"",G33-I33-H33)</f>
        <v/>
      </c>
      <c r="K33" s="18">
        <f>IF(OR(WEEKDAY($B33,2)&gt;5,COUNTIF(FESTIVOS!$A:$A,$B33)&gt;0),G33,"")</f>
        <v>0</v>
      </c>
      <c r="L33" s="15"/>
    </row>
    <row r="34" spans="1:12" x14ac:dyDescent="0.3">
      <c r="A34" s="11" t="s">
        <v>15</v>
      </c>
      <c r="B34" s="12">
        <v>46020</v>
      </c>
      <c r="C34" s="13">
        <v>0</v>
      </c>
      <c r="D34" s="13">
        <v>0</v>
      </c>
      <c r="E34" s="13">
        <v>0</v>
      </c>
      <c r="F34" s="13">
        <v>0</v>
      </c>
      <c r="G34" s="14">
        <f t="shared" si="0"/>
        <v>0</v>
      </c>
      <c r="H34" s="14">
        <f>IF(OR(WEEKDAY($B34,2)&gt;5,COUNTIF(FESTIVOS!$A:$A,$B34)&gt;0),0,$H$3*24)</f>
        <v>0.49999999999999989</v>
      </c>
      <c r="I34" s="14">
        <f>IF(OR(WEEKDAY($B34,2)&gt;5,COUNTIF(FESTIVOS!$A:$A,$B34)&gt;0),0,$I$3*24)</f>
        <v>8</v>
      </c>
      <c r="J34" s="14">
        <f>IF(OR(WEEKDAY($B34,2)&gt;5,COUNTIF(FESTIVOS!$A:$A,$B34)&gt;0),"",G34-I34-H34)</f>
        <v>-8.5</v>
      </c>
      <c r="K34" s="14" t="str">
        <f>IF(OR(WEEKDAY($B34,2)&gt;5,COUNTIF(FESTIVOS!$A:$A,$B34)&gt;0),G34,"")</f>
        <v/>
      </c>
      <c r="L34" s="11"/>
    </row>
    <row r="35" spans="1:12" x14ac:dyDescent="0.3">
      <c r="A35" s="11" t="s">
        <v>16</v>
      </c>
      <c r="B35" s="12">
        <v>46021</v>
      </c>
      <c r="C35" s="13">
        <v>0</v>
      </c>
      <c r="D35" s="13">
        <v>0</v>
      </c>
      <c r="E35" s="13">
        <v>0</v>
      </c>
      <c r="F35" s="13">
        <v>0</v>
      </c>
      <c r="G35" s="14">
        <f t="shared" si="0"/>
        <v>0</v>
      </c>
      <c r="H35" s="14">
        <f>IF(OR(WEEKDAY($B35,2)&gt;5,COUNTIF(FESTIVOS!$A:$A,$B35)&gt;0),0,$H$3*24)</f>
        <v>0.49999999999999989</v>
      </c>
      <c r="I35" s="14">
        <f>IF(OR(WEEKDAY($B35,2)&gt;5,COUNTIF(FESTIVOS!$A:$A,$B35)&gt;0),0,$I$3*24)</f>
        <v>8</v>
      </c>
      <c r="J35" s="14">
        <f>IF(OR(WEEKDAY($B35,2)&gt;5,COUNTIF(FESTIVOS!$A:$A,$B35)&gt;0),"",G35-I35-H35)</f>
        <v>-8.5</v>
      </c>
      <c r="K35" s="14" t="str">
        <f>IF(OR(WEEKDAY($B35,2)&gt;5,COUNTIF(FESTIVOS!$A:$A,$B35)&gt;0),G35,"")</f>
        <v/>
      </c>
      <c r="L35" s="11"/>
    </row>
    <row r="36" spans="1:12" x14ac:dyDescent="0.3">
      <c r="A36" s="11" t="s">
        <v>17</v>
      </c>
      <c r="B36" s="12">
        <v>46022</v>
      </c>
      <c r="C36" s="13">
        <v>0</v>
      </c>
      <c r="D36" s="13">
        <v>0</v>
      </c>
      <c r="E36" s="13">
        <v>0</v>
      </c>
      <c r="F36" s="13">
        <v>0</v>
      </c>
      <c r="G36" s="14">
        <f t="shared" si="0"/>
        <v>0</v>
      </c>
      <c r="H36" s="14">
        <f>IF(OR(WEEKDAY($B36,2)&gt;5,COUNTIF(FESTIVOS!$A:$A,$B36)&gt;0),0,$H$3*24)</f>
        <v>0.49999999999999989</v>
      </c>
      <c r="I36" s="14">
        <f>IF(OR(WEEKDAY($B36,2)&gt;5,COUNTIF(FESTIVOS!$A:$A,$B36)&gt;0),0,$I$3*24)</f>
        <v>8</v>
      </c>
      <c r="J36" s="14">
        <f>IF(OR(WEEKDAY($B36,2)&gt;5,COUNTIF(FESTIVOS!$A:$A,$B36)&gt;0),"",G36-I36-H36)</f>
        <v>-8.5</v>
      </c>
      <c r="K36" s="14" t="str">
        <f>IF(OR(WEEKDAY($B36,2)&gt;5,COUNTIF(FESTIVOS!$A:$A,$B36)&gt;0),G36,"")</f>
        <v/>
      </c>
      <c r="L36" s="11"/>
    </row>
  </sheetData>
  <mergeCells count="1">
    <mergeCell ref="C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"/>
  <sheetViews>
    <sheetView workbookViewId="0">
      <selection activeCell="F12" sqref="F12"/>
    </sheetView>
  </sheetViews>
  <sheetFormatPr baseColWidth="10" defaultColWidth="9.140625" defaultRowHeight="16.5" x14ac:dyDescent="0.3"/>
  <cols>
    <col min="1" max="1" width="4.7109375" style="2" bestFit="1" customWidth="1"/>
    <col min="2" max="2" width="13.5703125" style="2" bestFit="1" customWidth="1"/>
    <col min="3" max="3" width="11.85546875" style="2" bestFit="1" customWidth="1"/>
    <col min="4" max="4" width="9.7109375" style="2" bestFit="1" customWidth="1"/>
    <col min="5" max="5" width="11.85546875" style="2" bestFit="1" customWidth="1"/>
    <col min="6" max="7" width="9.7109375" style="2" bestFit="1" customWidth="1"/>
    <col min="8" max="8" width="14.7109375" style="2" bestFit="1" customWidth="1"/>
    <col min="9" max="9" width="8" style="2" customWidth="1"/>
    <col min="10" max="10" width="9.28515625" style="2" bestFit="1" customWidth="1"/>
    <col min="11" max="11" width="17.5703125" style="2" bestFit="1" customWidth="1"/>
    <col min="12" max="12" width="20.140625" style="2" bestFit="1" customWidth="1"/>
    <col min="13" max="13" width="9.140625" style="2"/>
    <col min="14" max="14" width="11.5703125" style="2" bestFit="1" customWidth="1"/>
    <col min="15" max="15" width="22.85546875" style="2" bestFit="1" customWidth="1"/>
    <col min="16" max="16" width="11.5703125" style="2" bestFit="1" customWidth="1"/>
    <col min="17" max="16384" width="9.140625" style="2"/>
  </cols>
  <sheetData>
    <row r="1" spans="1:16" ht="18" x14ac:dyDescent="0.35">
      <c r="N1" s="3">
        <v>9</v>
      </c>
      <c r="O1" s="3">
        <v>10</v>
      </c>
    </row>
    <row r="2" spans="1:16" ht="18" x14ac:dyDescent="0.35">
      <c r="C2" s="4" t="s">
        <v>0</v>
      </c>
      <c r="D2" s="5"/>
      <c r="F2" s="6" t="s">
        <v>1</v>
      </c>
      <c r="N2" s="6" t="s">
        <v>2</v>
      </c>
      <c r="O2" s="6" t="s">
        <v>3</v>
      </c>
    </row>
    <row r="3" spans="1:16" ht="18" x14ac:dyDescent="0.35">
      <c r="F3" s="6" t="s">
        <v>22</v>
      </c>
      <c r="H3" s="7">
        <v>2.0833333333333329E-2</v>
      </c>
      <c r="I3" s="7">
        <v>0.33333333333333331</v>
      </c>
      <c r="N3" s="8" t="e">
        <f>SUMPRODUCT((J6:J36&gt;0)*(J6:J36))</f>
        <v>#VALUE!</v>
      </c>
      <c r="O3" s="8">
        <f>SUM(K6:K36)</f>
        <v>0</v>
      </c>
    </row>
    <row r="4" spans="1:16" ht="18" x14ac:dyDescent="0.35">
      <c r="P4" s="6" t="s">
        <v>5</v>
      </c>
    </row>
    <row r="5" spans="1:16" ht="18" x14ac:dyDescent="0.35">
      <c r="A5" s="9" t="s">
        <v>6</v>
      </c>
      <c r="B5" s="9" t="s">
        <v>7</v>
      </c>
      <c r="C5" s="9" t="s">
        <v>8</v>
      </c>
      <c r="D5" s="9" t="s">
        <v>9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2</v>
      </c>
      <c r="K5" s="9" t="s">
        <v>13</v>
      </c>
      <c r="L5" s="9" t="s">
        <v>14</v>
      </c>
      <c r="N5" s="10" t="e">
        <f>N3*N1</f>
        <v>#VALUE!</v>
      </c>
      <c r="O5" s="10">
        <f>O3*O1</f>
        <v>0</v>
      </c>
      <c r="P5" s="10" t="e">
        <f>N5+O5</f>
        <v>#VALUE!</v>
      </c>
    </row>
    <row r="6" spans="1:16" x14ac:dyDescent="0.3">
      <c r="A6" s="15" t="s">
        <v>18</v>
      </c>
      <c r="B6" s="16">
        <v>46023</v>
      </c>
      <c r="C6" s="17">
        <v>0</v>
      </c>
      <c r="D6" s="17">
        <v>0</v>
      </c>
      <c r="E6" s="17">
        <v>0</v>
      </c>
      <c r="F6" s="17">
        <v>0</v>
      </c>
      <c r="G6" s="18">
        <f t="shared" ref="G6:G36" si="0">IF(AND(C6="",D6="",E6="",F6=""),0,(F6-E6+D6-C6)*24)</f>
        <v>0</v>
      </c>
      <c r="H6" s="18">
        <f>IF(OR(WEEKDAY($B6,2)&gt;5,COUNTIF(FESTIVOS!$A:$A,$B6)&gt;0),0,$H$3*24)</f>
        <v>0</v>
      </c>
      <c r="I6" s="18">
        <f>IF(OR(WEEKDAY($B6,2)&gt;5,COUNTIF(FESTIVOS!$A:$A,$B6)&gt;0),0,$I$3*24)</f>
        <v>0</v>
      </c>
      <c r="J6" s="18" t="str">
        <f>IF(OR(WEEKDAY($B6,2)&gt;5,COUNTIF(FESTIVOS!$A:$A,$B6)&gt;0),"",G6-I6-H6)</f>
        <v/>
      </c>
      <c r="K6" s="18">
        <f>IF(OR(WEEKDAY($B6,2)&gt;5,COUNTIF(FESTIVOS!$A:$A,$B6)&gt;0),G6,"")</f>
        <v>0</v>
      </c>
      <c r="L6" s="15"/>
    </row>
    <row r="7" spans="1:16" x14ac:dyDescent="0.3">
      <c r="A7" s="11" t="s">
        <v>19</v>
      </c>
      <c r="B7" s="12">
        <v>46024</v>
      </c>
      <c r="C7" s="13">
        <v>0</v>
      </c>
      <c r="D7" s="13">
        <v>0</v>
      </c>
      <c r="E7" s="13">
        <v>0</v>
      </c>
      <c r="F7" s="13">
        <v>0</v>
      </c>
      <c r="G7" s="14">
        <f t="shared" si="0"/>
        <v>0</v>
      </c>
      <c r="H7" s="14">
        <f>IF(OR(WEEKDAY($B7,2)&gt;5,COUNTIF(FESTIVOS!$A:$A,$B7)&gt;0),0,$H$3*24)</f>
        <v>0.49999999999999989</v>
      </c>
      <c r="I7" s="14">
        <f>IF(OR(WEEKDAY($B7,2)&gt;5,COUNTIF(FESTIVOS!$A:$A,$B7)&gt;0),0,$I$3*24)</f>
        <v>8</v>
      </c>
      <c r="J7" s="14">
        <f>IF(OR(WEEKDAY($B7,2)&gt;5,COUNTIF(FESTIVOS!$A:$A,$B7)&gt;0),"",G7-I7-H7)</f>
        <v>-8.5</v>
      </c>
      <c r="K7" s="14" t="str">
        <f>IF(OR(WEEKDAY($B7,2)&gt;5,COUNTIF(FESTIVOS!$A:$A,$B7)&gt;0),G7,"")</f>
        <v/>
      </c>
      <c r="L7" s="11"/>
    </row>
    <row r="8" spans="1:16" x14ac:dyDescent="0.3">
      <c r="A8" s="15" t="s">
        <v>20</v>
      </c>
      <c r="B8" s="16">
        <v>46025</v>
      </c>
      <c r="C8" s="17">
        <v>0</v>
      </c>
      <c r="D8" s="17">
        <v>0</v>
      </c>
      <c r="E8" s="17">
        <v>0</v>
      </c>
      <c r="F8" s="17">
        <v>0</v>
      </c>
      <c r="G8" s="18">
        <f t="shared" si="0"/>
        <v>0</v>
      </c>
      <c r="H8" s="18">
        <f>IF(OR(WEEKDAY($B8,2)&gt;5,COUNTIF(FESTIVOS!$A:$A,$B8)&gt;0),0,$H$3*24)</f>
        <v>0</v>
      </c>
      <c r="I8" s="18">
        <f>IF(OR(WEEKDAY($B8,2)&gt;5,COUNTIF(FESTIVOS!$A:$A,$B8)&gt;0),0,$I$3*24)</f>
        <v>0</v>
      </c>
      <c r="J8" s="18" t="str">
        <f>IF(OR(WEEKDAY($B8,2)&gt;5,COUNTIF(FESTIVOS!$A:$A,$B8)&gt;0),"",G8-I8-H8)</f>
        <v/>
      </c>
      <c r="K8" s="18">
        <f>IF(OR(WEEKDAY($B8,2)&gt;5,COUNTIF(FESTIVOS!$A:$A,$B8)&gt;0),G8,"")</f>
        <v>0</v>
      </c>
      <c r="L8" s="15"/>
    </row>
    <row r="9" spans="1:16" x14ac:dyDescent="0.3">
      <c r="A9" s="15" t="s">
        <v>21</v>
      </c>
      <c r="B9" s="16">
        <v>46026</v>
      </c>
      <c r="C9" s="17">
        <v>0</v>
      </c>
      <c r="D9" s="17">
        <v>0</v>
      </c>
      <c r="E9" s="17">
        <v>0</v>
      </c>
      <c r="F9" s="17">
        <v>0</v>
      </c>
      <c r="G9" s="18">
        <f t="shared" si="0"/>
        <v>0</v>
      </c>
      <c r="H9" s="18">
        <f>IF(OR(WEEKDAY($B9,2)&gt;5,COUNTIF(FESTIVOS!$A:$A,$B9)&gt;0),0,$H$3*24)</f>
        <v>0</v>
      </c>
      <c r="I9" s="18">
        <f>IF(OR(WEEKDAY($B9,2)&gt;5,COUNTIF(FESTIVOS!$A:$A,$B9)&gt;0),0,$I$3*24)</f>
        <v>0</v>
      </c>
      <c r="J9" s="18" t="str">
        <f>IF(OR(WEEKDAY($B9,2)&gt;5,COUNTIF(FESTIVOS!$A:$A,$B9)&gt;0),"",G9-I9-H9)</f>
        <v/>
      </c>
      <c r="K9" s="18">
        <f>IF(OR(WEEKDAY($B9,2)&gt;5,COUNTIF(FESTIVOS!$A:$A,$B9)&gt;0),G9,"")</f>
        <v>0</v>
      </c>
      <c r="L9" s="15"/>
    </row>
    <row r="10" spans="1:16" x14ac:dyDescent="0.3">
      <c r="A10" s="11" t="s">
        <v>15</v>
      </c>
      <c r="B10" s="12">
        <v>46027</v>
      </c>
      <c r="C10" s="13">
        <v>0</v>
      </c>
      <c r="D10" s="13">
        <v>0</v>
      </c>
      <c r="E10" s="13">
        <v>0</v>
      </c>
      <c r="F10" s="13">
        <v>0</v>
      </c>
      <c r="G10" s="14">
        <f t="shared" si="0"/>
        <v>0</v>
      </c>
      <c r="H10" s="14">
        <f>IF(OR(WEEKDAY($B10,2)&gt;5,COUNTIF(FESTIVOS!$A:$A,$B10)&gt;0),0,$H$3*24)</f>
        <v>0.49999999999999989</v>
      </c>
      <c r="I10" s="14">
        <f>IF(OR(WEEKDAY($B10,2)&gt;5,COUNTIF(FESTIVOS!$A:$A,$B10)&gt;0),0,$I$3*24)</f>
        <v>8</v>
      </c>
      <c r="J10" s="14">
        <f>IF(OR(WEEKDAY($B10,2)&gt;5,COUNTIF(FESTIVOS!$A:$A,$B10)&gt;0),"",G10-I10-H10)</f>
        <v>-8.5</v>
      </c>
      <c r="K10" s="14" t="str">
        <f>IF(OR(WEEKDAY($B10,2)&gt;5,COUNTIF(FESTIVOS!$A:$A,$B10)&gt;0),G10,"")</f>
        <v/>
      </c>
      <c r="L10" s="11"/>
    </row>
    <row r="11" spans="1:16" x14ac:dyDescent="0.3">
      <c r="A11" s="15" t="s">
        <v>16</v>
      </c>
      <c r="B11" s="16">
        <v>46028</v>
      </c>
      <c r="C11" s="17">
        <v>0</v>
      </c>
      <c r="D11" s="17">
        <v>0</v>
      </c>
      <c r="E11" s="17">
        <v>0</v>
      </c>
      <c r="F11" s="17">
        <v>0</v>
      </c>
      <c r="G11" s="18">
        <f t="shared" si="0"/>
        <v>0</v>
      </c>
      <c r="H11" s="18">
        <f>IF(OR(WEEKDAY($B11,2)&gt;5,COUNTIF(FESTIVOS!$A:$A,$B11)&gt;0),0,$H$3*24)</f>
        <v>0</v>
      </c>
      <c r="I11" s="18">
        <f>IF(OR(WEEKDAY($B11,2)&gt;5,COUNTIF(FESTIVOS!$A:$A,$B11)&gt;0),0,$I$3*24)</f>
        <v>0</v>
      </c>
      <c r="J11" s="18" t="str">
        <f>IF(OR(WEEKDAY($B11,2)&gt;5,COUNTIF(FESTIVOS!$A:$A,$B11)&gt;0),"",G11-I11-H11)</f>
        <v/>
      </c>
      <c r="K11" s="18">
        <f>IF(OR(WEEKDAY($B11,2)&gt;5,COUNTIF(FESTIVOS!$A:$A,$B11)&gt;0),G11,"")</f>
        <v>0</v>
      </c>
      <c r="L11" s="15"/>
    </row>
    <row r="12" spans="1:16" x14ac:dyDescent="0.3">
      <c r="A12" s="11" t="s">
        <v>17</v>
      </c>
      <c r="B12" s="12">
        <v>46029</v>
      </c>
      <c r="C12" s="13">
        <v>0</v>
      </c>
      <c r="D12" s="13">
        <v>0</v>
      </c>
      <c r="E12" s="13">
        <v>0</v>
      </c>
      <c r="F12" s="13">
        <v>0</v>
      </c>
      <c r="G12" s="14">
        <f t="shared" si="0"/>
        <v>0</v>
      </c>
      <c r="H12" s="14">
        <f>IF(OR(WEEKDAY($B12,2)&gt;5,COUNTIF(FESTIVOS!$A:$A,$B12)&gt;0),0,$H$3*24)</f>
        <v>0.49999999999999989</v>
      </c>
      <c r="I12" s="14">
        <f>IF(OR(WEEKDAY($B12,2)&gt;5,COUNTIF(FESTIVOS!$A:$A,$B12)&gt;0),0,$I$3*24)</f>
        <v>8</v>
      </c>
      <c r="J12" s="14">
        <f>IF(OR(WEEKDAY($B12,2)&gt;5,COUNTIF(FESTIVOS!$A:$A,$B12)&gt;0),"",G12-I12-H12)</f>
        <v>-8.5</v>
      </c>
      <c r="K12" s="14" t="str">
        <f>IF(OR(WEEKDAY($B12,2)&gt;5,COUNTIF(FESTIVOS!$A:$A,$B12)&gt;0),G12,"")</f>
        <v/>
      </c>
      <c r="L12" s="11"/>
    </row>
    <row r="13" spans="1:16" x14ac:dyDescent="0.3">
      <c r="A13" s="11" t="s">
        <v>18</v>
      </c>
      <c r="B13" s="12">
        <v>46030</v>
      </c>
      <c r="C13" s="13">
        <v>0</v>
      </c>
      <c r="D13" s="13">
        <v>0</v>
      </c>
      <c r="E13" s="13">
        <v>0</v>
      </c>
      <c r="F13" s="13">
        <v>0</v>
      </c>
      <c r="G13" s="14">
        <f t="shared" si="0"/>
        <v>0</v>
      </c>
      <c r="H13" s="14">
        <f>IF(OR(WEEKDAY($B13,2)&gt;5,COUNTIF(FESTIVOS!$A:$A,$B13)&gt;0),0,$H$3*24)</f>
        <v>0.49999999999999989</v>
      </c>
      <c r="I13" s="14">
        <f>IF(OR(WEEKDAY($B13,2)&gt;5,COUNTIF(FESTIVOS!$A:$A,$B13)&gt;0),0,$I$3*24)</f>
        <v>8</v>
      </c>
      <c r="J13" s="14">
        <f>IF(OR(WEEKDAY($B13,2)&gt;5,COUNTIF(FESTIVOS!$A:$A,$B13)&gt;0),"",G13-I13-H13)</f>
        <v>-8.5</v>
      </c>
      <c r="K13" s="14" t="str">
        <f>IF(OR(WEEKDAY($B13,2)&gt;5,COUNTIF(FESTIVOS!$A:$A,$B13)&gt;0),G13,"")</f>
        <v/>
      </c>
      <c r="L13" s="11"/>
    </row>
    <row r="14" spans="1:16" x14ac:dyDescent="0.3">
      <c r="A14" s="11" t="s">
        <v>19</v>
      </c>
      <c r="B14" s="12">
        <v>46031</v>
      </c>
      <c r="C14" s="13">
        <v>0</v>
      </c>
      <c r="D14" s="13">
        <v>0</v>
      </c>
      <c r="E14" s="13">
        <v>0</v>
      </c>
      <c r="F14" s="13">
        <v>0</v>
      </c>
      <c r="G14" s="14">
        <f t="shared" si="0"/>
        <v>0</v>
      </c>
      <c r="H14" s="14">
        <f>IF(OR(WEEKDAY($B14,2)&gt;5,COUNTIF(FESTIVOS!$A:$A,$B14)&gt;0),0,$H$3*24)</f>
        <v>0.49999999999999989</v>
      </c>
      <c r="I14" s="14">
        <f>IF(OR(WEEKDAY($B14,2)&gt;5,COUNTIF(FESTIVOS!$A:$A,$B14)&gt;0),0,$I$3*24)</f>
        <v>8</v>
      </c>
      <c r="J14" s="14">
        <f>IF(OR(WEEKDAY($B14,2)&gt;5,COUNTIF(FESTIVOS!$A:$A,$B14)&gt;0),"",G14-I14-H14)</f>
        <v>-8.5</v>
      </c>
      <c r="K14" s="14" t="str">
        <f>IF(OR(WEEKDAY($B14,2)&gt;5,COUNTIF(FESTIVOS!$A:$A,$B14)&gt;0),G14,"")</f>
        <v/>
      </c>
      <c r="L14" s="11"/>
    </row>
    <row r="15" spans="1:16" x14ac:dyDescent="0.3">
      <c r="A15" s="15" t="s">
        <v>20</v>
      </c>
      <c r="B15" s="16">
        <v>46032</v>
      </c>
      <c r="C15" s="17">
        <v>0</v>
      </c>
      <c r="D15" s="17">
        <v>0</v>
      </c>
      <c r="E15" s="17">
        <v>0</v>
      </c>
      <c r="F15" s="17">
        <v>0</v>
      </c>
      <c r="G15" s="18">
        <f t="shared" si="0"/>
        <v>0</v>
      </c>
      <c r="H15" s="18">
        <f>IF(OR(WEEKDAY($B15,2)&gt;5,COUNTIF(FESTIVOS!$A:$A,$B15)&gt;0),0,$H$3*24)</f>
        <v>0</v>
      </c>
      <c r="I15" s="18">
        <f>IF(OR(WEEKDAY($B15,2)&gt;5,COUNTIF(FESTIVOS!$A:$A,$B15)&gt;0),0,$I$3*24)</f>
        <v>0</v>
      </c>
      <c r="J15" s="18" t="str">
        <f>IF(OR(WEEKDAY($B15,2)&gt;5,COUNTIF(FESTIVOS!$A:$A,$B15)&gt;0),"",G15-I15-H15)</f>
        <v/>
      </c>
      <c r="K15" s="18">
        <f>IF(OR(WEEKDAY($B15,2)&gt;5,COUNTIF(FESTIVOS!$A:$A,$B15)&gt;0),G15,"")</f>
        <v>0</v>
      </c>
      <c r="L15" s="15"/>
    </row>
    <row r="16" spans="1:16" x14ac:dyDescent="0.3">
      <c r="A16" s="15" t="s">
        <v>21</v>
      </c>
      <c r="B16" s="16">
        <v>46033</v>
      </c>
      <c r="C16" s="17">
        <v>0</v>
      </c>
      <c r="D16" s="17">
        <v>0</v>
      </c>
      <c r="E16" s="17">
        <v>0</v>
      </c>
      <c r="F16" s="17">
        <v>0</v>
      </c>
      <c r="G16" s="18">
        <f t="shared" si="0"/>
        <v>0</v>
      </c>
      <c r="H16" s="18">
        <f>IF(OR(WEEKDAY($B16,2)&gt;5,COUNTIF(FESTIVOS!$A:$A,$B16)&gt;0),0,$H$3*24)</f>
        <v>0</v>
      </c>
      <c r="I16" s="18">
        <f>IF(OR(WEEKDAY($B16,2)&gt;5,COUNTIF(FESTIVOS!$A:$A,$B16)&gt;0),0,$I$3*24)</f>
        <v>0</v>
      </c>
      <c r="J16" s="18" t="str">
        <f>IF(OR(WEEKDAY($B16,2)&gt;5,COUNTIF(FESTIVOS!$A:$A,$B16)&gt;0),"",G16-I16-H16)</f>
        <v/>
      </c>
      <c r="K16" s="18">
        <f>IF(OR(WEEKDAY($B16,2)&gt;5,COUNTIF(FESTIVOS!$A:$A,$B16)&gt;0),G16,"")</f>
        <v>0</v>
      </c>
      <c r="L16" s="15"/>
    </row>
    <row r="17" spans="1:12" x14ac:dyDescent="0.3">
      <c r="A17" s="11" t="s">
        <v>15</v>
      </c>
      <c r="B17" s="12">
        <v>46034</v>
      </c>
      <c r="C17" s="13">
        <v>0</v>
      </c>
      <c r="D17" s="13">
        <v>0</v>
      </c>
      <c r="E17" s="13">
        <v>0</v>
      </c>
      <c r="F17" s="13">
        <v>0</v>
      </c>
      <c r="G17" s="14">
        <f t="shared" si="0"/>
        <v>0</v>
      </c>
      <c r="H17" s="14">
        <f>IF(OR(WEEKDAY($B17,2)&gt;5,COUNTIF(FESTIVOS!$A:$A,$B17)&gt;0),0,$H$3*24)</f>
        <v>0.49999999999999989</v>
      </c>
      <c r="I17" s="14">
        <f>IF(OR(WEEKDAY($B17,2)&gt;5,COUNTIF(FESTIVOS!$A:$A,$B17)&gt;0),0,$I$3*24)</f>
        <v>8</v>
      </c>
      <c r="J17" s="14">
        <f>IF(OR(WEEKDAY($B17,2)&gt;5,COUNTIF(FESTIVOS!$A:$A,$B17)&gt;0),"",G17-I17-H17)</f>
        <v>-8.5</v>
      </c>
      <c r="K17" s="14" t="str">
        <f>IF(OR(WEEKDAY($B17,2)&gt;5,COUNTIF(FESTIVOS!$A:$A,$B17)&gt;0),G17,"")</f>
        <v/>
      </c>
      <c r="L17" s="11"/>
    </row>
    <row r="18" spans="1:12" x14ac:dyDescent="0.3">
      <c r="A18" s="11" t="s">
        <v>16</v>
      </c>
      <c r="B18" s="12">
        <v>46035</v>
      </c>
      <c r="C18" s="13">
        <v>0</v>
      </c>
      <c r="D18" s="13">
        <v>0</v>
      </c>
      <c r="E18" s="13">
        <v>0</v>
      </c>
      <c r="F18" s="13">
        <v>0</v>
      </c>
      <c r="G18" s="14">
        <f t="shared" si="0"/>
        <v>0</v>
      </c>
      <c r="H18" s="14">
        <f>IF(OR(WEEKDAY($B18,2)&gt;5,COUNTIF(FESTIVOS!$A:$A,$B18)&gt;0),0,$H$3*24)</f>
        <v>0.49999999999999989</v>
      </c>
      <c r="I18" s="14">
        <f>IF(OR(WEEKDAY($B18,2)&gt;5,COUNTIF(FESTIVOS!$A:$A,$B18)&gt;0),0,$I$3*24)</f>
        <v>8</v>
      </c>
      <c r="J18" s="14">
        <f>IF(OR(WEEKDAY($B18,2)&gt;5,COUNTIF(FESTIVOS!$A:$A,$B18)&gt;0),"",G18-I18-H18)</f>
        <v>-8.5</v>
      </c>
      <c r="K18" s="14" t="str">
        <f>IF(OR(WEEKDAY($B18,2)&gt;5,COUNTIF(FESTIVOS!$A:$A,$B18)&gt;0),G18,"")</f>
        <v/>
      </c>
      <c r="L18" s="11"/>
    </row>
    <row r="19" spans="1:12" x14ac:dyDescent="0.3">
      <c r="A19" s="11" t="s">
        <v>17</v>
      </c>
      <c r="B19" s="12">
        <v>46036</v>
      </c>
      <c r="C19" s="13">
        <v>0</v>
      </c>
      <c r="D19" s="13">
        <v>0</v>
      </c>
      <c r="E19" s="13">
        <v>0</v>
      </c>
      <c r="F19" s="13">
        <v>0</v>
      </c>
      <c r="G19" s="14">
        <f t="shared" si="0"/>
        <v>0</v>
      </c>
      <c r="H19" s="14">
        <f>IF(OR(WEEKDAY($B19,2)&gt;5,COUNTIF(FESTIVOS!$A:$A,$B19)&gt;0),0,$H$3*24)</f>
        <v>0.49999999999999989</v>
      </c>
      <c r="I19" s="14">
        <f>IF(OR(WEEKDAY($B19,2)&gt;5,COUNTIF(FESTIVOS!$A:$A,$B19)&gt;0),0,$I$3*24)</f>
        <v>8</v>
      </c>
      <c r="J19" s="14">
        <f>IF(OR(WEEKDAY($B19,2)&gt;5,COUNTIF(FESTIVOS!$A:$A,$B19)&gt;0),"",G19-I19-H19)</f>
        <v>-8.5</v>
      </c>
      <c r="K19" s="14" t="str">
        <f>IF(OR(WEEKDAY($B19,2)&gt;5,COUNTIF(FESTIVOS!$A:$A,$B19)&gt;0),G19,"")</f>
        <v/>
      </c>
      <c r="L19" s="11"/>
    </row>
    <row r="20" spans="1:12" x14ac:dyDescent="0.3">
      <c r="A20" s="11" t="s">
        <v>18</v>
      </c>
      <c r="B20" s="12">
        <v>46037</v>
      </c>
      <c r="C20" s="13">
        <v>0</v>
      </c>
      <c r="D20" s="13">
        <v>0</v>
      </c>
      <c r="E20" s="13">
        <v>0</v>
      </c>
      <c r="F20" s="13">
        <v>0</v>
      </c>
      <c r="G20" s="14">
        <f t="shared" si="0"/>
        <v>0</v>
      </c>
      <c r="H20" s="14">
        <f>IF(OR(WEEKDAY($B20,2)&gt;5,COUNTIF(FESTIVOS!$A:$A,$B20)&gt;0),0,$H$3*24)</f>
        <v>0.49999999999999989</v>
      </c>
      <c r="I20" s="14">
        <f>IF(OR(WEEKDAY($B20,2)&gt;5,COUNTIF(FESTIVOS!$A:$A,$B20)&gt;0),0,$I$3*24)</f>
        <v>8</v>
      </c>
      <c r="J20" s="14">
        <f>IF(OR(WEEKDAY($B20,2)&gt;5,COUNTIF(FESTIVOS!$A:$A,$B20)&gt;0),"",G20-I20-H20)</f>
        <v>-8.5</v>
      </c>
      <c r="K20" s="14" t="str">
        <f>IF(OR(WEEKDAY($B20,2)&gt;5,COUNTIF(FESTIVOS!$A:$A,$B20)&gt;0),G20,"")</f>
        <v/>
      </c>
      <c r="L20" s="11"/>
    </row>
    <row r="21" spans="1:12" x14ac:dyDescent="0.3">
      <c r="A21" s="11" t="s">
        <v>19</v>
      </c>
      <c r="B21" s="12">
        <v>46038</v>
      </c>
      <c r="C21" s="13">
        <v>0</v>
      </c>
      <c r="D21" s="13">
        <v>0</v>
      </c>
      <c r="E21" s="13">
        <v>0</v>
      </c>
      <c r="F21" s="13">
        <v>0</v>
      </c>
      <c r="G21" s="14">
        <f t="shared" si="0"/>
        <v>0</v>
      </c>
      <c r="H21" s="14">
        <f>IF(OR(WEEKDAY($B21,2)&gt;5,COUNTIF(FESTIVOS!$A:$A,$B21)&gt;0),0,$H$3*24)</f>
        <v>0.49999999999999989</v>
      </c>
      <c r="I21" s="14">
        <f>IF(OR(WEEKDAY($B21,2)&gt;5,COUNTIF(FESTIVOS!$A:$A,$B21)&gt;0),0,$I$3*24)</f>
        <v>8</v>
      </c>
      <c r="J21" s="14">
        <f>IF(OR(WEEKDAY($B21,2)&gt;5,COUNTIF(FESTIVOS!$A:$A,$B21)&gt;0),"",G21-I21-H21)</f>
        <v>-8.5</v>
      </c>
      <c r="K21" s="14" t="str">
        <f>IF(OR(WEEKDAY($B21,2)&gt;5,COUNTIF(FESTIVOS!$A:$A,$B21)&gt;0),G21,"")</f>
        <v/>
      </c>
      <c r="L21" s="11"/>
    </row>
    <row r="22" spans="1:12" x14ac:dyDescent="0.3">
      <c r="A22" s="15" t="s">
        <v>20</v>
      </c>
      <c r="B22" s="16">
        <v>46039</v>
      </c>
      <c r="C22" s="17">
        <v>0</v>
      </c>
      <c r="D22" s="17">
        <v>0</v>
      </c>
      <c r="E22" s="17">
        <v>0</v>
      </c>
      <c r="F22" s="17">
        <v>0</v>
      </c>
      <c r="G22" s="18">
        <f t="shared" si="0"/>
        <v>0</v>
      </c>
      <c r="H22" s="18">
        <f>IF(OR(WEEKDAY($B22,2)&gt;5,COUNTIF(FESTIVOS!$A:$A,$B22)&gt;0),0,$H$3*24)</f>
        <v>0</v>
      </c>
      <c r="I22" s="18">
        <f>IF(OR(WEEKDAY($B22,2)&gt;5,COUNTIF(FESTIVOS!$A:$A,$B22)&gt;0),0,$I$3*24)</f>
        <v>0</v>
      </c>
      <c r="J22" s="18" t="str">
        <f>IF(OR(WEEKDAY($B22,2)&gt;5,COUNTIF(FESTIVOS!$A:$A,$B22)&gt;0),"",G22-I22-H22)</f>
        <v/>
      </c>
      <c r="K22" s="18">
        <f>IF(OR(WEEKDAY($B22,2)&gt;5,COUNTIF(FESTIVOS!$A:$A,$B22)&gt;0),G22,"")</f>
        <v>0</v>
      </c>
      <c r="L22" s="15"/>
    </row>
    <row r="23" spans="1:12" x14ac:dyDescent="0.3">
      <c r="A23" s="15" t="s">
        <v>21</v>
      </c>
      <c r="B23" s="16">
        <v>46040</v>
      </c>
      <c r="C23" s="17">
        <v>0</v>
      </c>
      <c r="D23" s="17">
        <v>0</v>
      </c>
      <c r="E23" s="17">
        <v>0</v>
      </c>
      <c r="F23" s="17">
        <v>0</v>
      </c>
      <c r="G23" s="18">
        <f t="shared" si="0"/>
        <v>0</v>
      </c>
      <c r="H23" s="18">
        <f>IF(OR(WEEKDAY($B23,2)&gt;5,COUNTIF(FESTIVOS!$A:$A,$B23)&gt;0),0,$H$3*24)</f>
        <v>0</v>
      </c>
      <c r="I23" s="18">
        <f>IF(OR(WEEKDAY($B23,2)&gt;5,COUNTIF(FESTIVOS!$A:$A,$B23)&gt;0),0,$I$3*24)</f>
        <v>0</v>
      </c>
      <c r="J23" s="18" t="str">
        <f>IF(OR(WEEKDAY($B23,2)&gt;5,COUNTIF(FESTIVOS!$A:$A,$B23)&gt;0),"",G23-I23-H23)</f>
        <v/>
      </c>
      <c r="K23" s="18">
        <f>IF(OR(WEEKDAY($B23,2)&gt;5,COUNTIF(FESTIVOS!$A:$A,$B23)&gt;0),G23,"")</f>
        <v>0</v>
      </c>
      <c r="L23" s="15"/>
    </row>
    <row r="24" spans="1:12" x14ac:dyDescent="0.3">
      <c r="A24" s="11" t="s">
        <v>15</v>
      </c>
      <c r="B24" s="12">
        <v>46041</v>
      </c>
      <c r="C24" s="13">
        <v>0</v>
      </c>
      <c r="D24" s="13">
        <v>0</v>
      </c>
      <c r="E24" s="13">
        <v>0</v>
      </c>
      <c r="F24" s="13">
        <v>0</v>
      </c>
      <c r="G24" s="14">
        <f t="shared" si="0"/>
        <v>0</v>
      </c>
      <c r="H24" s="14">
        <f>IF(OR(WEEKDAY($B24,2)&gt;5,COUNTIF(FESTIVOS!$A:$A,$B24)&gt;0),0,$H$3*24)</f>
        <v>0.49999999999999989</v>
      </c>
      <c r="I24" s="14">
        <f>IF(OR(WEEKDAY($B24,2)&gt;5,COUNTIF(FESTIVOS!$A:$A,$B24)&gt;0),0,$I$3*24)</f>
        <v>8</v>
      </c>
      <c r="J24" s="14">
        <f>IF(OR(WEEKDAY($B24,2)&gt;5,COUNTIF(FESTIVOS!$A:$A,$B24)&gt;0),"",G24-I24-H24)</f>
        <v>-8.5</v>
      </c>
      <c r="K24" s="14" t="str">
        <f>IF(OR(WEEKDAY($B24,2)&gt;5,COUNTIF(FESTIVOS!$A:$A,$B24)&gt;0),G24,"")</f>
        <v/>
      </c>
      <c r="L24" s="11"/>
    </row>
    <row r="25" spans="1:12" x14ac:dyDescent="0.3">
      <c r="A25" s="11" t="s">
        <v>16</v>
      </c>
      <c r="B25" s="12">
        <v>46042</v>
      </c>
      <c r="C25" s="13">
        <v>0</v>
      </c>
      <c r="D25" s="13">
        <v>0</v>
      </c>
      <c r="E25" s="13">
        <v>0</v>
      </c>
      <c r="F25" s="13">
        <v>0</v>
      </c>
      <c r="G25" s="14">
        <f t="shared" si="0"/>
        <v>0</v>
      </c>
      <c r="H25" s="14">
        <f>IF(OR(WEEKDAY($B25,2)&gt;5,COUNTIF(FESTIVOS!$A:$A,$B25)&gt;0),0,$H$3*24)</f>
        <v>0.49999999999999989</v>
      </c>
      <c r="I25" s="14">
        <f>IF(OR(WEEKDAY($B25,2)&gt;5,COUNTIF(FESTIVOS!$A:$A,$B25)&gt;0),0,$I$3*24)</f>
        <v>8</v>
      </c>
      <c r="J25" s="14">
        <f>IF(OR(WEEKDAY($B25,2)&gt;5,COUNTIF(FESTIVOS!$A:$A,$B25)&gt;0),"",G25-I25-H25)</f>
        <v>-8.5</v>
      </c>
      <c r="K25" s="14" t="str">
        <f>IF(OR(WEEKDAY($B25,2)&gt;5,COUNTIF(FESTIVOS!$A:$A,$B25)&gt;0),G25,"")</f>
        <v/>
      </c>
      <c r="L25" s="11"/>
    </row>
    <row r="26" spans="1:12" x14ac:dyDescent="0.3">
      <c r="A26" s="11" t="s">
        <v>17</v>
      </c>
      <c r="B26" s="12">
        <v>46043</v>
      </c>
      <c r="C26" s="13">
        <v>0</v>
      </c>
      <c r="D26" s="13">
        <v>0</v>
      </c>
      <c r="E26" s="13">
        <v>0</v>
      </c>
      <c r="F26" s="13">
        <v>0</v>
      </c>
      <c r="G26" s="14">
        <f t="shared" si="0"/>
        <v>0</v>
      </c>
      <c r="H26" s="14">
        <f>IF(OR(WEEKDAY($B26,2)&gt;5,COUNTIF(FESTIVOS!$A:$A,$B26)&gt;0),0,$H$3*24)</f>
        <v>0.49999999999999989</v>
      </c>
      <c r="I26" s="14">
        <f>IF(OR(WEEKDAY($B26,2)&gt;5,COUNTIF(FESTIVOS!$A:$A,$B26)&gt;0),0,$I$3*24)</f>
        <v>8</v>
      </c>
      <c r="J26" s="14">
        <f>IF(OR(WEEKDAY($B26,2)&gt;5,COUNTIF(FESTIVOS!$A:$A,$B26)&gt;0),"",G26-I26-H26)</f>
        <v>-8.5</v>
      </c>
      <c r="K26" s="14" t="str">
        <f>IF(OR(WEEKDAY($B26,2)&gt;5,COUNTIF(FESTIVOS!$A:$A,$B26)&gt;0),G26,"")</f>
        <v/>
      </c>
      <c r="L26" s="11"/>
    </row>
    <row r="27" spans="1:12" x14ac:dyDescent="0.3">
      <c r="A27" s="11" t="s">
        <v>18</v>
      </c>
      <c r="B27" s="12">
        <v>46044</v>
      </c>
      <c r="C27" s="13">
        <v>0</v>
      </c>
      <c r="D27" s="13">
        <v>0</v>
      </c>
      <c r="E27" s="13">
        <v>0</v>
      </c>
      <c r="F27" s="13">
        <v>0</v>
      </c>
      <c r="G27" s="14">
        <f t="shared" si="0"/>
        <v>0</v>
      </c>
      <c r="H27" s="14">
        <f>IF(OR(WEEKDAY($B27,2)&gt;5,COUNTIF(FESTIVOS!$A:$A,$B27)&gt;0),0,$H$3*24)</f>
        <v>0.49999999999999989</v>
      </c>
      <c r="I27" s="14">
        <f>IF(OR(WEEKDAY($B27,2)&gt;5,COUNTIF(FESTIVOS!$A:$A,$B27)&gt;0),0,$I$3*24)</f>
        <v>8</v>
      </c>
      <c r="J27" s="14">
        <f>IF(OR(WEEKDAY($B27,2)&gt;5,COUNTIF(FESTIVOS!$A:$A,$B27)&gt;0),"",G27-I27-H27)</f>
        <v>-8.5</v>
      </c>
      <c r="K27" s="14" t="str">
        <f>IF(OR(WEEKDAY($B27,2)&gt;5,COUNTIF(FESTIVOS!$A:$A,$B27)&gt;0),G27,"")</f>
        <v/>
      </c>
      <c r="L27" s="11"/>
    </row>
    <row r="28" spans="1:12" x14ac:dyDescent="0.3">
      <c r="A28" s="11" t="s">
        <v>19</v>
      </c>
      <c r="B28" s="12">
        <v>46045</v>
      </c>
      <c r="C28" s="13">
        <v>0</v>
      </c>
      <c r="D28" s="13">
        <v>0</v>
      </c>
      <c r="E28" s="13">
        <v>0</v>
      </c>
      <c r="F28" s="13">
        <v>0</v>
      </c>
      <c r="G28" s="14">
        <f t="shared" si="0"/>
        <v>0</v>
      </c>
      <c r="H28" s="14">
        <f>IF(OR(WEEKDAY($B28,2)&gt;5,COUNTIF(FESTIVOS!$A:$A,$B28)&gt;0),0,$H$3*24)</f>
        <v>0.49999999999999989</v>
      </c>
      <c r="I28" s="14">
        <f>IF(OR(WEEKDAY($B28,2)&gt;5,COUNTIF(FESTIVOS!$A:$A,$B28)&gt;0),0,$I$3*24)</f>
        <v>8</v>
      </c>
      <c r="J28" s="14">
        <f>IF(OR(WEEKDAY($B28,2)&gt;5,COUNTIF(FESTIVOS!$A:$A,$B28)&gt;0),"",G28-I28-H28)</f>
        <v>-8.5</v>
      </c>
      <c r="K28" s="14" t="str">
        <f>IF(OR(WEEKDAY($B28,2)&gt;5,COUNTIF(FESTIVOS!$A:$A,$B28)&gt;0),G28,"")</f>
        <v/>
      </c>
      <c r="L28" s="11"/>
    </row>
    <row r="29" spans="1:12" x14ac:dyDescent="0.3">
      <c r="A29" s="15" t="s">
        <v>20</v>
      </c>
      <c r="B29" s="16">
        <v>46046</v>
      </c>
      <c r="C29" s="17">
        <v>0</v>
      </c>
      <c r="D29" s="17">
        <v>0</v>
      </c>
      <c r="E29" s="17">
        <v>0</v>
      </c>
      <c r="F29" s="17">
        <v>0</v>
      </c>
      <c r="G29" s="18">
        <f t="shared" si="0"/>
        <v>0</v>
      </c>
      <c r="H29" s="18">
        <f>IF(OR(WEEKDAY($B29,2)&gt;5,COUNTIF(FESTIVOS!$A:$A,$B29)&gt;0),0,$H$3*24)</f>
        <v>0</v>
      </c>
      <c r="I29" s="18">
        <f>IF(OR(WEEKDAY($B29,2)&gt;5,COUNTIF(FESTIVOS!$A:$A,$B29)&gt;0),0,$I$3*24)</f>
        <v>0</v>
      </c>
      <c r="J29" s="18" t="str">
        <f>IF(OR(WEEKDAY($B29,2)&gt;5,COUNTIF(FESTIVOS!$A:$A,$B29)&gt;0),"",G29-I29-H29)</f>
        <v/>
      </c>
      <c r="K29" s="18">
        <f>IF(OR(WEEKDAY($B29,2)&gt;5,COUNTIF(FESTIVOS!$A:$A,$B29)&gt;0),G29,"")</f>
        <v>0</v>
      </c>
      <c r="L29" s="15"/>
    </row>
    <row r="30" spans="1:12" x14ac:dyDescent="0.3">
      <c r="A30" s="15" t="s">
        <v>21</v>
      </c>
      <c r="B30" s="16">
        <v>46047</v>
      </c>
      <c r="C30" s="17">
        <v>0</v>
      </c>
      <c r="D30" s="17">
        <v>0</v>
      </c>
      <c r="E30" s="17">
        <v>0</v>
      </c>
      <c r="F30" s="17">
        <v>0</v>
      </c>
      <c r="G30" s="18">
        <f t="shared" si="0"/>
        <v>0</v>
      </c>
      <c r="H30" s="18">
        <f>IF(OR(WEEKDAY($B30,2)&gt;5,COUNTIF(FESTIVOS!$A:$A,$B30)&gt;0),0,$H$3*24)</f>
        <v>0</v>
      </c>
      <c r="I30" s="18">
        <f>IF(OR(WEEKDAY($B30,2)&gt;5,COUNTIF(FESTIVOS!$A:$A,$B30)&gt;0),0,$I$3*24)</f>
        <v>0</v>
      </c>
      <c r="J30" s="18" t="str">
        <f>IF(OR(WEEKDAY($B30,2)&gt;5,COUNTIF(FESTIVOS!$A:$A,$B30)&gt;0),"",G30-I30-H30)</f>
        <v/>
      </c>
      <c r="K30" s="18">
        <f>IF(OR(WEEKDAY($B30,2)&gt;5,COUNTIF(FESTIVOS!$A:$A,$B30)&gt;0),G30,"")</f>
        <v>0</v>
      </c>
      <c r="L30" s="15"/>
    </row>
    <row r="31" spans="1:12" x14ac:dyDescent="0.3">
      <c r="A31" s="11" t="s">
        <v>15</v>
      </c>
      <c r="B31" s="12">
        <v>46048</v>
      </c>
      <c r="C31" s="13">
        <v>0</v>
      </c>
      <c r="D31" s="13">
        <v>0</v>
      </c>
      <c r="E31" s="13">
        <v>0</v>
      </c>
      <c r="F31" s="13">
        <v>0</v>
      </c>
      <c r="G31" s="14">
        <f t="shared" si="0"/>
        <v>0</v>
      </c>
      <c r="H31" s="14">
        <f>IF(OR(WEEKDAY($B31,2)&gt;5,COUNTIF(FESTIVOS!$A:$A,$B31)&gt;0),0,$H$3*24)</f>
        <v>0.49999999999999989</v>
      </c>
      <c r="I31" s="14">
        <f>IF(OR(WEEKDAY($B31,2)&gt;5,COUNTIF(FESTIVOS!$A:$A,$B31)&gt;0),0,$I$3*24)</f>
        <v>8</v>
      </c>
      <c r="J31" s="14">
        <f>IF(OR(WEEKDAY($B31,2)&gt;5,COUNTIF(FESTIVOS!$A:$A,$B31)&gt;0),"",G31-I31-H31)</f>
        <v>-8.5</v>
      </c>
      <c r="K31" s="14" t="str">
        <f>IF(OR(WEEKDAY($B31,2)&gt;5,COUNTIF(FESTIVOS!$A:$A,$B31)&gt;0),G31,"")</f>
        <v/>
      </c>
      <c r="L31" s="11"/>
    </row>
    <row r="32" spans="1:12" x14ac:dyDescent="0.3">
      <c r="A32" s="11" t="s">
        <v>16</v>
      </c>
      <c r="B32" s="12">
        <v>46049</v>
      </c>
      <c r="C32" s="13">
        <v>0</v>
      </c>
      <c r="D32" s="13">
        <v>0</v>
      </c>
      <c r="E32" s="13">
        <v>0</v>
      </c>
      <c r="F32" s="13">
        <v>0</v>
      </c>
      <c r="G32" s="14">
        <f t="shared" si="0"/>
        <v>0</v>
      </c>
      <c r="H32" s="14">
        <f>IF(OR(WEEKDAY($B32,2)&gt;5,COUNTIF(FESTIVOS!$A:$A,$B32)&gt;0),0,$H$3*24)</f>
        <v>0.49999999999999989</v>
      </c>
      <c r="I32" s="14">
        <f>IF(OR(WEEKDAY($B32,2)&gt;5,COUNTIF(FESTIVOS!$A:$A,$B32)&gt;0),0,$I$3*24)</f>
        <v>8</v>
      </c>
      <c r="J32" s="14">
        <f>IF(OR(WEEKDAY($B32,2)&gt;5,COUNTIF(FESTIVOS!$A:$A,$B32)&gt;0),"",G32-I32-H32)</f>
        <v>-8.5</v>
      </c>
      <c r="K32" s="14" t="str">
        <f>IF(OR(WEEKDAY($B32,2)&gt;5,COUNTIF(FESTIVOS!$A:$A,$B32)&gt;0),G32,"")</f>
        <v/>
      </c>
      <c r="L32" s="11"/>
    </row>
    <row r="33" spans="1:12" x14ac:dyDescent="0.3">
      <c r="A33" s="11" t="s">
        <v>17</v>
      </c>
      <c r="B33" s="12">
        <v>46050</v>
      </c>
      <c r="C33" s="13">
        <v>0</v>
      </c>
      <c r="D33" s="13">
        <v>0</v>
      </c>
      <c r="E33" s="13">
        <v>0</v>
      </c>
      <c r="F33" s="13">
        <v>0</v>
      </c>
      <c r="G33" s="14">
        <f t="shared" si="0"/>
        <v>0</v>
      </c>
      <c r="H33" s="14">
        <f>IF(OR(WEEKDAY($B33,2)&gt;5,COUNTIF(FESTIVOS!$A:$A,$B33)&gt;0),0,$H$3*24)</f>
        <v>0.49999999999999989</v>
      </c>
      <c r="I33" s="14">
        <f>IF(OR(WEEKDAY($B33,2)&gt;5,COUNTIF(FESTIVOS!$A:$A,$B33)&gt;0),0,$I$3*24)</f>
        <v>8</v>
      </c>
      <c r="J33" s="14">
        <f>IF(OR(WEEKDAY($B33,2)&gt;5,COUNTIF(FESTIVOS!$A:$A,$B33)&gt;0),"",G33-I33-H33)</f>
        <v>-8.5</v>
      </c>
      <c r="K33" s="14" t="str">
        <f>IF(OR(WEEKDAY($B33,2)&gt;5,COUNTIF(FESTIVOS!$A:$A,$B33)&gt;0),G33,"")</f>
        <v/>
      </c>
      <c r="L33" s="11"/>
    </row>
    <row r="34" spans="1:12" x14ac:dyDescent="0.3">
      <c r="A34" s="11" t="s">
        <v>18</v>
      </c>
      <c r="B34" s="12">
        <v>46051</v>
      </c>
      <c r="C34" s="13">
        <v>0</v>
      </c>
      <c r="D34" s="13">
        <v>0</v>
      </c>
      <c r="E34" s="13">
        <v>0</v>
      </c>
      <c r="F34" s="13">
        <v>0</v>
      </c>
      <c r="G34" s="14">
        <f t="shared" si="0"/>
        <v>0</v>
      </c>
      <c r="H34" s="14">
        <f>IF(OR(WEEKDAY($B34,2)&gt;5,COUNTIF(FESTIVOS!$A:$A,$B34)&gt;0),0,$H$3*24)</f>
        <v>0.49999999999999989</v>
      </c>
      <c r="I34" s="14">
        <f>IF(OR(WEEKDAY($B34,2)&gt;5,COUNTIF(FESTIVOS!$A:$A,$B34)&gt;0),0,$I$3*24)</f>
        <v>8</v>
      </c>
      <c r="J34" s="14">
        <f>IF(OR(WEEKDAY($B34,2)&gt;5,COUNTIF(FESTIVOS!$A:$A,$B34)&gt;0),"",G34-I34-H34)</f>
        <v>-8.5</v>
      </c>
      <c r="K34" s="14" t="str">
        <f>IF(OR(WEEKDAY($B34,2)&gt;5,COUNTIF(FESTIVOS!$A:$A,$B34)&gt;0),G34,"")</f>
        <v/>
      </c>
      <c r="L34" s="11"/>
    </row>
    <row r="35" spans="1:12" x14ac:dyDescent="0.3">
      <c r="A35" s="11" t="s">
        <v>19</v>
      </c>
      <c r="B35" s="12">
        <v>46052</v>
      </c>
      <c r="C35" s="13">
        <v>0</v>
      </c>
      <c r="D35" s="13">
        <v>0</v>
      </c>
      <c r="E35" s="13">
        <v>0</v>
      </c>
      <c r="F35" s="13">
        <v>0</v>
      </c>
      <c r="G35" s="14">
        <f t="shared" si="0"/>
        <v>0</v>
      </c>
      <c r="H35" s="14">
        <f>IF(OR(WEEKDAY($B35,2)&gt;5,COUNTIF(FESTIVOS!$A:$A,$B35)&gt;0),0,$H$3*24)</f>
        <v>0.49999999999999989</v>
      </c>
      <c r="I35" s="14">
        <f>IF(OR(WEEKDAY($B35,2)&gt;5,COUNTIF(FESTIVOS!$A:$A,$B35)&gt;0),0,$I$3*24)</f>
        <v>8</v>
      </c>
      <c r="J35" s="14">
        <f>IF(OR(WEEKDAY($B35,2)&gt;5,COUNTIF(FESTIVOS!$A:$A,$B35)&gt;0),"",G35-I35-H35)</f>
        <v>-8.5</v>
      </c>
      <c r="K35" s="14" t="str">
        <f>IF(OR(WEEKDAY($B35,2)&gt;5,COUNTIF(FESTIVOS!$A:$A,$B35)&gt;0),G35,"")</f>
        <v/>
      </c>
      <c r="L35" s="11"/>
    </row>
    <row r="36" spans="1:12" x14ac:dyDescent="0.3">
      <c r="A36" s="15" t="s">
        <v>20</v>
      </c>
      <c r="B36" s="16">
        <v>46053</v>
      </c>
      <c r="C36" s="17">
        <v>0</v>
      </c>
      <c r="D36" s="17">
        <v>0</v>
      </c>
      <c r="E36" s="17">
        <v>0</v>
      </c>
      <c r="F36" s="17">
        <v>0</v>
      </c>
      <c r="G36" s="18">
        <f t="shared" si="0"/>
        <v>0</v>
      </c>
      <c r="H36" s="18">
        <f>IF(OR(WEEKDAY($B36,2)&gt;5,COUNTIF(FESTIVOS!$A:$A,$B36)&gt;0),0,$H$3*24)</f>
        <v>0</v>
      </c>
      <c r="I36" s="18">
        <f>IF(OR(WEEKDAY($B36,2)&gt;5,COUNTIF(FESTIVOS!$A:$A,$B36)&gt;0),0,$I$3*24)</f>
        <v>0</v>
      </c>
      <c r="J36" s="18" t="str">
        <f>IF(OR(WEEKDAY($B36,2)&gt;5,COUNTIF(FESTIVOS!$A:$A,$B36)&gt;0),"",G36-I36-H36)</f>
        <v/>
      </c>
      <c r="K36" s="18">
        <f>IF(OR(WEEKDAY($B36,2)&gt;5,COUNTIF(FESTIVOS!$A:$A,$B36)&gt;0),G36,"")</f>
        <v>0</v>
      </c>
      <c r="L36" s="15"/>
    </row>
  </sheetData>
  <mergeCells count="1">
    <mergeCell ref="C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workbookViewId="0">
      <selection activeCell="K18" sqref="K18"/>
    </sheetView>
  </sheetViews>
  <sheetFormatPr baseColWidth="10" defaultColWidth="9.140625" defaultRowHeight="16.5" x14ac:dyDescent="0.3"/>
  <cols>
    <col min="1" max="1" width="4.7109375" style="2" bestFit="1" customWidth="1"/>
    <col min="2" max="2" width="13.85546875" style="2" bestFit="1" customWidth="1"/>
    <col min="3" max="3" width="11.85546875" style="2" bestFit="1" customWidth="1"/>
    <col min="4" max="4" width="9.7109375" style="2" bestFit="1" customWidth="1"/>
    <col min="5" max="5" width="11.85546875" style="2" bestFit="1" customWidth="1"/>
    <col min="6" max="7" width="9.7109375" style="2" bestFit="1" customWidth="1"/>
    <col min="8" max="8" width="14.7109375" style="2" bestFit="1" customWidth="1"/>
    <col min="9" max="9" width="8" style="2" customWidth="1"/>
    <col min="10" max="10" width="9.28515625" style="2" bestFit="1" customWidth="1"/>
    <col min="11" max="11" width="17.5703125" style="2" bestFit="1" customWidth="1"/>
    <col min="12" max="12" width="20.140625" style="2" bestFit="1" customWidth="1"/>
    <col min="13" max="13" width="9.140625" style="2"/>
    <col min="14" max="14" width="11.5703125" style="2" bestFit="1" customWidth="1"/>
    <col min="15" max="15" width="22.85546875" style="2" bestFit="1" customWidth="1"/>
    <col min="16" max="16" width="11.5703125" style="2" bestFit="1" customWidth="1"/>
    <col min="17" max="16384" width="9.140625" style="2"/>
  </cols>
  <sheetData>
    <row r="1" spans="1:16" ht="18" x14ac:dyDescent="0.35">
      <c r="N1" s="3">
        <v>9</v>
      </c>
      <c r="O1" s="3">
        <v>10</v>
      </c>
    </row>
    <row r="2" spans="1:16" ht="18" x14ac:dyDescent="0.35">
      <c r="C2" s="4" t="s">
        <v>0</v>
      </c>
      <c r="D2" s="5"/>
      <c r="F2" s="6" t="s">
        <v>1</v>
      </c>
      <c r="N2" s="6" t="s">
        <v>2</v>
      </c>
      <c r="O2" s="6" t="s">
        <v>3</v>
      </c>
    </row>
    <row r="3" spans="1:16" ht="18" x14ac:dyDescent="0.35">
      <c r="F3" s="6" t="s">
        <v>23</v>
      </c>
      <c r="H3" s="7">
        <v>2.0833333333333329E-2</v>
      </c>
      <c r="I3" s="7">
        <v>0.33333333333333331</v>
      </c>
      <c r="N3" s="8" t="e">
        <f>SUMPRODUCT((J6:J33&gt;0)*(J6:J33))</f>
        <v>#VALUE!</v>
      </c>
      <c r="O3" s="8">
        <f>SUM(K6:K33)</f>
        <v>0</v>
      </c>
    </row>
    <row r="4" spans="1:16" ht="18" x14ac:dyDescent="0.35">
      <c r="P4" s="6" t="s">
        <v>5</v>
      </c>
    </row>
    <row r="5" spans="1:16" ht="18" x14ac:dyDescent="0.35">
      <c r="A5" s="9" t="s">
        <v>6</v>
      </c>
      <c r="B5" s="9" t="s">
        <v>7</v>
      </c>
      <c r="C5" s="9" t="s">
        <v>8</v>
      </c>
      <c r="D5" s="9" t="s">
        <v>9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2</v>
      </c>
      <c r="K5" s="9" t="s">
        <v>13</v>
      </c>
      <c r="L5" s="9" t="s">
        <v>14</v>
      </c>
      <c r="N5" s="10" t="e">
        <f>N3*N1</f>
        <v>#VALUE!</v>
      </c>
      <c r="O5" s="10">
        <f>O3*O1</f>
        <v>0</v>
      </c>
      <c r="P5" s="10" t="e">
        <f>N5+O5</f>
        <v>#VALUE!</v>
      </c>
    </row>
    <row r="6" spans="1:16" x14ac:dyDescent="0.3">
      <c r="A6" s="15" t="s">
        <v>21</v>
      </c>
      <c r="B6" s="16">
        <v>46054</v>
      </c>
      <c r="C6" s="17">
        <v>0</v>
      </c>
      <c r="D6" s="17">
        <v>0</v>
      </c>
      <c r="E6" s="17">
        <v>0</v>
      </c>
      <c r="F6" s="17">
        <v>0</v>
      </c>
      <c r="G6" s="18">
        <f t="shared" ref="G6:G33" si="0">IF(AND(C6="",D6="",E6="",F6=""),0,(F6-E6+D6-C6)*24)</f>
        <v>0</v>
      </c>
      <c r="H6" s="18">
        <f>IF(OR(WEEKDAY($B6,2)&gt;5,COUNTIF(FESTIVOS!$A:$A,$B6)&gt;0),0,$H$3*24)</f>
        <v>0</v>
      </c>
      <c r="I6" s="18">
        <f>IF(OR(WEEKDAY($B6,2)&gt;5,COUNTIF(FESTIVOS!$A:$A,$B6)&gt;0),0,$I$3*24)</f>
        <v>0</v>
      </c>
      <c r="J6" s="18" t="str">
        <f>IF(OR(WEEKDAY($B6,2)&gt;5,COUNTIF(FESTIVOS!$A:$A,$B6)&gt;0),"",G6-I6-H6)</f>
        <v/>
      </c>
      <c r="K6" s="18">
        <f>IF(OR(WEEKDAY($B6,2)&gt;5,COUNTIF(FESTIVOS!$A:$A,$B6)&gt;0),G6,"")</f>
        <v>0</v>
      </c>
      <c r="L6" s="15"/>
    </row>
    <row r="7" spans="1:16" x14ac:dyDescent="0.3">
      <c r="A7" s="11" t="s">
        <v>15</v>
      </c>
      <c r="B7" s="12">
        <v>46055</v>
      </c>
      <c r="C7" s="13">
        <v>0</v>
      </c>
      <c r="D7" s="13">
        <v>0</v>
      </c>
      <c r="E7" s="13">
        <v>0</v>
      </c>
      <c r="F7" s="13">
        <v>0</v>
      </c>
      <c r="G7" s="14">
        <f t="shared" si="0"/>
        <v>0</v>
      </c>
      <c r="H7" s="14">
        <f>IF(OR(WEEKDAY($B7,2)&gt;5,COUNTIF(FESTIVOS!$A:$A,$B7)&gt;0),0,$H$3*24)</f>
        <v>0.49999999999999989</v>
      </c>
      <c r="I7" s="14">
        <f>IF(OR(WEEKDAY($B7,2)&gt;5,COUNTIF(FESTIVOS!$A:$A,$B7)&gt;0),0,$I$3*24)</f>
        <v>8</v>
      </c>
      <c r="J7" s="14">
        <f>IF(OR(WEEKDAY($B7,2)&gt;5,COUNTIF(FESTIVOS!$A:$A,$B7)&gt;0),"",G7-I7-H7)</f>
        <v>-8.5</v>
      </c>
      <c r="K7" s="14" t="str">
        <f>IF(OR(WEEKDAY($B7,2)&gt;5,COUNTIF(FESTIVOS!$A:$A,$B7)&gt;0),G7,"")</f>
        <v/>
      </c>
      <c r="L7" s="11"/>
    </row>
    <row r="8" spans="1:16" x14ac:dyDescent="0.3">
      <c r="A8" s="11" t="s">
        <v>16</v>
      </c>
      <c r="B8" s="12">
        <v>46056</v>
      </c>
      <c r="C8" s="13">
        <v>0</v>
      </c>
      <c r="D8" s="13">
        <v>0</v>
      </c>
      <c r="E8" s="13">
        <v>0</v>
      </c>
      <c r="F8" s="13">
        <v>0</v>
      </c>
      <c r="G8" s="14">
        <f t="shared" si="0"/>
        <v>0</v>
      </c>
      <c r="H8" s="14">
        <f>IF(OR(WEEKDAY($B8,2)&gt;5,COUNTIF(FESTIVOS!$A:$A,$B8)&gt;0),0,$H$3*24)</f>
        <v>0.49999999999999989</v>
      </c>
      <c r="I8" s="14">
        <f>IF(OR(WEEKDAY($B8,2)&gt;5,COUNTIF(FESTIVOS!$A:$A,$B8)&gt;0),0,$I$3*24)</f>
        <v>8</v>
      </c>
      <c r="J8" s="14">
        <f>IF(OR(WEEKDAY($B8,2)&gt;5,COUNTIF(FESTIVOS!$A:$A,$B8)&gt;0),"",G8-I8-H8)</f>
        <v>-8.5</v>
      </c>
      <c r="K8" s="14" t="str">
        <f>IF(OR(WEEKDAY($B8,2)&gt;5,COUNTIF(FESTIVOS!$A:$A,$B8)&gt;0),G8,"")</f>
        <v/>
      </c>
      <c r="L8" s="11"/>
    </row>
    <row r="9" spans="1:16" x14ac:dyDescent="0.3">
      <c r="A9" s="11" t="s">
        <v>17</v>
      </c>
      <c r="B9" s="12">
        <v>46057</v>
      </c>
      <c r="C9" s="13">
        <v>0</v>
      </c>
      <c r="D9" s="13">
        <v>0</v>
      </c>
      <c r="E9" s="13">
        <v>0</v>
      </c>
      <c r="F9" s="13">
        <v>0</v>
      </c>
      <c r="G9" s="14">
        <f t="shared" si="0"/>
        <v>0</v>
      </c>
      <c r="H9" s="14">
        <f>IF(OR(WEEKDAY($B9,2)&gt;5,COUNTIF(FESTIVOS!$A:$A,$B9)&gt;0),0,$H$3*24)</f>
        <v>0.49999999999999989</v>
      </c>
      <c r="I9" s="14">
        <f>IF(OR(WEEKDAY($B9,2)&gt;5,COUNTIF(FESTIVOS!$A:$A,$B9)&gt;0),0,$I$3*24)</f>
        <v>8</v>
      </c>
      <c r="J9" s="14">
        <f>IF(OR(WEEKDAY($B9,2)&gt;5,COUNTIF(FESTIVOS!$A:$A,$B9)&gt;0),"",G9-I9-H9)</f>
        <v>-8.5</v>
      </c>
      <c r="K9" s="14" t="str">
        <f>IF(OR(WEEKDAY($B9,2)&gt;5,COUNTIF(FESTIVOS!$A:$A,$B9)&gt;0),G9,"")</f>
        <v/>
      </c>
      <c r="L9" s="11"/>
    </row>
    <row r="10" spans="1:16" x14ac:dyDescent="0.3">
      <c r="A10" s="11" t="s">
        <v>18</v>
      </c>
      <c r="B10" s="12">
        <v>46058</v>
      </c>
      <c r="C10" s="13">
        <v>0</v>
      </c>
      <c r="D10" s="13">
        <v>0</v>
      </c>
      <c r="E10" s="13">
        <v>0</v>
      </c>
      <c r="F10" s="13">
        <v>0</v>
      </c>
      <c r="G10" s="14">
        <f t="shared" si="0"/>
        <v>0</v>
      </c>
      <c r="H10" s="14">
        <f>IF(OR(WEEKDAY($B10,2)&gt;5,COUNTIF(FESTIVOS!$A:$A,$B10)&gt;0),0,$H$3*24)</f>
        <v>0.49999999999999989</v>
      </c>
      <c r="I10" s="14">
        <f>IF(OR(WEEKDAY($B10,2)&gt;5,COUNTIF(FESTIVOS!$A:$A,$B10)&gt;0),0,$I$3*24)</f>
        <v>8</v>
      </c>
      <c r="J10" s="14">
        <f>IF(OR(WEEKDAY($B10,2)&gt;5,COUNTIF(FESTIVOS!$A:$A,$B10)&gt;0),"",G10-I10-H10)</f>
        <v>-8.5</v>
      </c>
      <c r="K10" s="14" t="str">
        <f>IF(OR(WEEKDAY($B10,2)&gt;5,COUNTIF(FESTIVOS!$A:$A,$B10)&gt;0),G10,"")</f>
        <v/>
      </c>
      <c r="L10" s="11"/>
    </row>
    <row r="11" spans="1:16" x14ac:dyDescent="0.3">
      <c r="A11" s="11" t="s">
        <v>19</v>
      </c>
      <c r="B11" s="12">
        <v>46059</v>
      </c>
      <c r="C11" s="13">
        <v>0</v>
      </c>
      <c r="D11" s="13">
        <v>0</v>
      </c>
      <c r="E11" s="13">
        <v>0</v>
      </c>
      <c r="F11" s="13">
        <v>0</v>
      </c>
      <c r="G11" s="14">
        <f t="shared" si="0"/>
        <v>0</v>
      </c>
      <c r="H11" s="14">
        <f>IF(OR(WEEKDAY($B11,2)&gt;5,COUNTIF(FESTIVOS!$A:$A,$B11)&gt;0),0,$H$3*24)</f>
        <v>0.49999999999999989</v>
      </c>
      <c r="I11" s="14">
        <f>IF(OR(WEEKDAY($B11,2)&gt;5,COUNTIF(FESTIVOS!$A:$A,$B11)&gt;0),0,$I$3*24)</f>
        <v>8</v>
      </c>
      <c r="J11" s="14">
        <f>IF(OR(WEEKDAY($B11,2)&gt;5,COUNTIF(FESTIVOS!$A:$A,$B11)&gt;0),"",G11-I11-H11)</f>
        <v>-8.5</v>
      </c>
      <c r="K11" s="14" t="str">
        <f>IF(OR(WEEKDAY($B11,2)&gt;5,COUNTIF(FESTIVOS!$A:$A,$B11)&gt;0),G11,"")</f>
        <v/>
      </c>
      <c r="L11" s="11"/>
    </row>
    <row r="12" spans="1:16" x14ac:dyDescent="0.3">
      <c r="A12" s="15" t="s">
        <v>20</v>
      </c>
      <c r="B12" s="16">
        <v>46060</v>
      </c>
      <c r="C12" s="17">
        <v>0</v>
      </c>
      <c r="D12" s="17">
        <v>0</v>
      </c>
      <c r="E12" s="17">
        <v>0</v>
      </c>
      <c r="F12" s="17">
        <v>0</v>
      </c>
      <c r="G12" s="18">
        <f t="shared" si="0"/>
        <v>0</v>
      </c>
      <c r="H12" s="18">
        <f>IF(OR(WEEKDAY($B12,2)&gt;5,COUNTIF(FESTIVOS!$A:$A,$B12)&gt;0),0,$H$3*24)</f>
        <v>0</v>
      </c>
      <c r="I12" s="18">
        <f>IF(OR(WEEKDAY($B12,2)&gt;5,COUNTIF(FESTIVOS!$A:$A,$B12)&gt;0),0,$I$3*24)</f>
        <v>0</v>
      </c>
      <c r="J12" s="18" t="str">
        <f>IF(OR(WEEKDAY($B12,2)&gt;5,COUNTIF(FESTIVOS!$A:$A,$B12)&gt;0),"",G12-I12-H12)</f>
        <v/>
      </c>
      <c r="K12" s="18">
        <f>IF(OR(WEEKDAY($B12,2)&gt;5,COUNTIF(FESTIVOS!$A:$A,$B12)&gt;0),G12,"")</f>
        <v>0</v>
      </c>
      <c r="L12" s="15"/>
    </row>
    <row r="13" spans="1:16" x14ac:dyDescent="0.3">
      <c r="A13" s="15" t="s">
        <v>21</v>
      </c>
      <c r="B13" s="16">
        <v>46061</v>
      </c>
      <c r="C13" s="17">
        <v>0</v>
      </c>
      <c r="D13" s="17">
        <v>0</v>
      </c>
      <c r="E13" s="17">
        <v>0</v>
      </c>
      <c r="F13" s="17">
        <v>0</v>
      </c>
      <c r="G13" s="18">
        <f t="shared" si="0"/>
        <v>0</v>
      </c>
      <c r="H13" s="18">
        <f>IF(OR(WEEKDAY($B13,2)&gt;5,COUNTIF(FESTIVOS!$A:$A,$B13)&gt;0),0,$H$3*24)</f>
        <v>0</v>
      </c>
      <c r="I13" s="18">
        <f>IF(OR(WEEKDAY($B13,2)&gt;5,COUNTIF(FESTIVOS!$A:$A,$B13)&gt;0),0,$I$3*24)</f>
        <v>0</v>
      </c>
      <c r="J13" s="18" t="str">
        <f>IF(OR(WEEKDAY($B13,2)&gt;5,COUNTIF(FESTIVOS!$A:$A,$B13)&gt;0),"",G13-I13-H13)</f>
        <v/>
      </c>
      <c r="K13" s="18">
        <f>IF(OR(WEEKDAY($B13,2)&gt;5,COUNTIF(FESTIVOS!$A:$A,$B13)&gt;0),G13,"")</f>
        <v>0</v>
      </c>
      <c r="L13" s="15"/>
    </row>
    <row r="14" spans="1:16" x14ac:dyDescent="0.3">
      <c r="A14" s="11" t="s">
        <v>15</v>
      </c>
      <c r="B14" s="12">
        <v>46062</v>
      </c>
      <c r="C14" s="13">
        <v>0</v>
      </c>
      <c r="D14" s="13">
        <v>0</v>
      </c>
      <c r="E14" s="13">
        <v>0</v>
      </c>
      <c r="F14" s="13">
        <v>0</v>
      </c>
      <c r="G14" s="14">
        <f t="shared" si="0"/>
        <v>0</v>
      </c>
      <c r="H14" s="14">
        <f>IF(OR(WEEKDAY($B14,2)&gt;5,COUNTIF(FESTIVOS!$A:$A,$B14)&gt;0),0,$H$3*24)</f>
        <v>0.49999999999999989</v>
      </c>
      <c r="I14" s="14">
        <f>IF(OR(WEEKDAY($B14,2)&gt;5,COUNTIF(FESTIVOS!$A:$A,$B14)&gt;0),0,$I$3*24)</f>
        <v>8</v>
      </c>
      <c r="J14" s="14">
        <f>IF(OR(WEEKDAY($B14,2)&gt;5,COUNTIF(FESTIVOS!$A:$A,$B14)&gt;0),"",G14-I14-H14)</f>
        <v>-8.5</v>
      </c>
      <c r="K14" s="14" t="str">
        <f>IF(OR(WEEKDAY($B14,2)&gt;5,COUNTIF(FESTIVOS!$A:$A,$B14)&gt;0),G14,"")</f>
        <v/>
      </c>
      <c r="L14" s="11"/>
    </row>
    <row r="15" spans="1:16" x14ac:dyDescent="0.3">
      <c r="A15" s="11" t="s">
        <v>16</v>
      </c>
      <c r="B15" s="12">
        <v>46063</v>
      </c>
      <c r="C15" s="13">
        <v>0</v>
      </c>
      <c r="D15" s="13">
        <v>0</v>
      </c>
      <c r="E15" s="13">
        <v>0</v>
      </c>
      <c r="F15" s="13">
        <v>0</v>
      </c>
      <c r="G15" s="14">
        <f t="shared" si="0"/>
        <v>0</v>
      </c>
      <c r="H15" s="14">
        <f>IF(OR(WEEKDAY($B15,2)&gt;5,COUNTIF(FESTIVOS!$A:$A,$B15)&gt;0),0,$H$3*24)</f>
        <v>0.49999999999999989</v>
      </c>
      <c r="I15" s="14">
        <f>IF(OR(WEEKDAY($B15,2)&gt;5,COUNTIF(FESTIVOS!$A:$A,$B15)&gt;0),0,$I$3*24)</f>
        <v>8</v>
      </c>
      <c r="J15" s="14">
        <f>IF(OR(WEEKDAY($B15,2)&gt;5,COUNTIF(FESTIVOS!$A:$A,$B15)&gt;0),"",G15-I15-H15)</f>
        <v>-8.5</v>
      </c>
      <c r="K15" s="14" t="str">
        <f>IF(OR(WEEKDAY($B15,2)&gt;5,COUNTIF(FESTIVOS!$A:$A,$B15)&gt;0),G15,"")</f>
        <v/>
      </c>
      <c r="L15" s="11"/>
    </row>
    <row r="16" spans="1:16" x14ac:dyDescent="0.3">
      <c r="A16" s="11" t="s">
        <v>17</v>
      </c>
      <c r="B16" s="12">
        <v>46064</v>
      </c>
      <c r="C16" s="13">
        <v>0</v>
      </c>
      <c r="D16" s="13">
        <v>0</v>
      </c>
      <c r="E16" s="13">
        <v>0</v>
      </c>
      <c r="F16" s="13">
        <v>0</v>
      </c>
      <c r="G16" s="14">
        <f t="shared" si="0"/>
        <v>0</v>
      </c>
      <c r="H16" s="14">
        <f>IF(OR(WEEKDAY($B16,2)&gt;5,COUNTIF(FESTIVOS!$A:$A,$B16)&gt;0),0,$H$3*24)</f>
        <v>0.49999999999999989</v>
      </c>
      <c r="I16" s="14">
        <f>IF(OR(WEEKDAY($B16,2)&gt;5,COUNTIF(FESTIVOS!$A:$A,$B16)&gt;0),0,$I$3*24)</f>
        <v>8</v>
      </c>
      <c r="J16" s="14">
        <f>IF(OR(WEEKDAY($B16,2)&gt;5,COUNTIF(FESTIVOS!$A:$A,$B16)&gt;0),"",G16-I16-H16)</f>
        <v>-8.5</v>
      </c>
      <c r="K16" s="14" t="str">
        <f>IF(OR(WEEKDAY($B16,2)&gt;5,COUNTIF(FESTIVOS!$A:$A,$B16)&gt;0),G16,"")</f>
        <v/>
      </c>
      <c r="L16" s="11"/>
    </row>
    <row r="17" spans="1:12" x14ac:dyDescent="0.3">
      <c r="A17" s="11" t="s">
        <v>18</v>
      </c>
      <c r="B17" s="12">
        <v>46065</v>
      </c>
      <c r="C17" s="13">
        <v>0</v>
      </c>
      <c r="D17" s="13">
        <v>0</v>
      </c>
      <c r="E17" s="13">
        <v>0</v>
      </c>
      <c r="F17" s="13">
        <v>0</v>
      </c>
      <c r="G17" s="14">
        <f t="shared" si="0"/>
        <v>0</v>
      </c>
      <c r="H17" s="14">
        <f>IF(OR(WEEKDAY($B17,2)&gt;5,COUNTIF(FESTIVOS!$A:$A,$B17)&gt;0),0,$H$3*24)</f>
        <v>0.49999999999999989</v>
      </c>
      <c r="I17" s="14">
        <f>IF(OR(WEEKDAY($B17,2)&gt;5,COUNTIF(FESTIVOS!$A:$A,$B17)&gt;0),0,$I$3*24)</f>
        <v>8</v>
      </c>
      <c r="J17" s="14">
        <f>IF(OR(WEEKDAY($B17,2)&gt;5,COUNTIF(FESTIVOS!$A:$A,$B17)&gt;0),"",G17-I17-H17)</f>
        <v>-8.5</v>
      </c>
      <c r="K17" s="14" t="str">
        <f>IF(OR(WEEKDAY($B17,2)&gt;5,COUNTIF(FESTIVOS!$A:$A,$B17)&gt;0),G17,"")</f>
        <v/>
      </c>
      <c r="L17" s="11"/>
    </row>
    <row r="18" spans="1:12" x14ac:dyDescent="0.3">
      <c r="A18" s="11" t="s">
        <v>19</v>
      </c>
      <c r="B18" s="12">
        <v>46066</v>
      </c>
      <c r="C18" s="13">
        <v>0</v>
      </c>
      <c r="D18" s="13">
        <v>0</v>
      </c>
      <c r="E18" s="13">
        <v>0</v>
      </c>
      <c r="F18" s="13">
        <v>0</v>
      </c>
      <c r="G18" s="14">
        <f t="shared" si="0"/>
        <v>0</v>
      </c>
      <c r="H18" s="14">
        <f>IF(OR(WEEKDAY($B18,2)&gt;5,COUNTIF(FESTIVOS!$A:$A,$B18)&gt;0),0,$H$3*24)</f>
        <v>0.49999999999999989</v>
      </c>
      <c r="I18" s="14">
        <f>IF(OR(WEEKDAY($B18,2)&gt;5,COUNTIF(FESTIVOS!$A:$A,$B18)&gt;0),0,$I$3*24)</f>
        <v>8</v>
      </c>
      <c r="J18" s="14">
        <f>IF(OR(WEEKDAY($B18,2)&gt;5,COUNTIF(FESTIVOS!$A:$A,$B18)&gt;0),"",G18-I18-H18)</f>
        <v>-8.5</v>
      </c>
      <c r="K18" s="14" t="str">
        <f>IF(OR(WEEKDAY($B18,2)&gt;5,COUNTIF(FESTIVOS!$A:$A,$B18)&gt;0),G18,"")</f>
        <v/>
      </c>
      <c r="L18" s="11"/>
    </row>
    <row r="19" spans="1:12" x14ac:dyDescent="0.3">
      <c r="A19" s="15" t="s">
        <v>20</v>
      </c>
      <c r="B19" s="16">
        <v>46067</v>
      </c>
      <c r="C19" s="17">
        <v>0</v>
      </c>
      <c r="D19" s="17">
        <v>0</v>
      </c>
      <c r="E19" s="17">
        <v>0</v>
      </c>
      <c r="F19" s="17">
        <v>0</v>
      </c>
      <c r="G19" s="18">
        <f t="shared" si="0"/>
        <v>0</v>
      </c>
      <c r="H19" s="18">
        <f>IF(OR(WEEKDAY($B19,2)&gt;5,COUNTIF(FESTIVOS!$A:$A,$B19)&gt;0),0,$H$3*24)</f>
        <v>0</v>
      </c>
      <c r="I19" s="18">
        <f>IF(OR(WEEKDAY($B19,2)&gt;5,COUNTIF(FESTIVOS!$A:$A,$B19)&gt;0),0,$I$3*24)</f>
        <v>0</v>
      </c>
      <c r="J19" s="18" t="str">
        <f>IF(OR(WEEKDAY($B19,2)&gt;5,COUNTIF(FESTIVOS!$A:$A,$B19)&gt;0),"",G19-I19-H19)</f>
        <v/>
      </c>
      <c r="K19" s="18">
        <f>IF(OR(WEEKDAY($B19,2)&gt;5,COUNTIF(FESTIVOS!$A:$A,$B19)&gt;0),G19,"")</f>
        <v>0</v>
      </c>
      <c r="L19" s="15"/>
    </row>
    <row r="20" spans="1:12" x14ac:dyDescent="0.3">
      <c r="A20" s="15" t="s">
        <v>21</v>
      </c>
      <c r="B20" s="16">
        <v>46068</v>
      </c>
      <c r="C20" s="17">
        <v>0</v>
      </c>
      <c r="D20" s="17">
        <v>0</v>
      </c>
      <c r="E20" s="17">
        <v>0</v>
      </c>
      <c r="F20" s="17">
        <v>0</v>
      </c>
      <c r="G20" s="18">
        <f t="shared" si="0"/>
        <v>0</v>
      </c>
      <c r="H20" s="18">
        <f>IF(OR(WEEKDAY($B20,2)&gt;5,COUNTIF(FESTIVOS!$A:$A,$B20)&gt;0),0,$H$3*24)</f>
        <v>0</v>
      </c>
      <c r="I20" s="18">
        <f>IF(OR(WEEKDAY($B20,2)&gt;5,COUNTIF(FESTIVOS!$A:$A,$B20)&gt;0),0,$I$3*24)</f>
        <v>0</v>
      </c>
      <c r="J20" s="18" t="str">
        <f>IF(OR(WEEKDAY($B20,2)&gt;5,COUNTIF(FESTIVOS!$A:$A,$B20)&gt;0),"",G20-I20-H20)</f>
        <v/>
      </c>
      <c r="K20" s="18">
        <f>IF(OR(WEEKDAY($B20,2)&gt;5,COUNTIF(FESTIVOS!$A:$A,$B20)&gt;0),G20,"")</f>
        <v>0</v>
      </c>
      <c r="L20" s="15"/>
    </row>
    <row r="21" spans="1:12" x14ac:dyDescent="0.3">
      <c r="A21" s="11" t="s">
        <v>15</v>
      </c>
      <c r="B21" s="12">
        <v>46069</v>
      </c>
      <c r="C21" s="13">
        <v>0</v>
      </c>
      <c r="D21" s="13">
        <v>0</v>
      </c>
      <c r="E21" s="13">
        <v>0</v>
      </c>
      <c r="F21" s="13">
        <v>0</v>
      </c>
      <c r="G21" s="14">
        <f t="shared" si="0"/>
        <v>0</v>
      </c>
      <c r="H21" s="14">
        <f>IF(OR(WEEKDAY($B21,2)&gt;5,COUNTIF(FESTIVOS!$A:$A,$B21)&gt;0),0,$H$3*24)</f>
        <v>0.49999999999999989</v>
      </c>
      <c r="I21" s="14">
        <f>IF(OR(WEEKDAY($B21,2)&gt;5,COUNTIF(FESTIVOS!$A:$A,$B21)&gt;0),0,$I$3*24)</f>
        <v>8</v>
      </c>
      <c r="J21" s="14">
        <f>IF(OR(WEEKDAY($B21,2)&gt;5,COUNTIF(FESTIVOS!$A:$A,$B21)&gt;0),"",G21-I21-H21)</f>
        <v>-8.5</v>
      </c>
      <c r="K21" s="14" t="str">
        <f>IF(OR(WEEKDAY($B21,2)&gt;5,COUNTIF(FESTIVOS!$A:$A,$B21)&gt;0),G21,"")</f>
        <v/>
      </c>
      <c r="L21" s="11"/>
    </row>
    <row r="22" spans="1:12" x14ac:dyDescent="0.3">
      <c r="A22" s="11" t="s">
        <v>16</v>
      </c>
      <c r="B22" s="12">
        <v>46070</v>
      </c>
      <c r="C22" s="13">
        <v>0</v>
      </c>
      <c r="D22" s="13">
        <v>0</v>
      </c>
      <c r="E22" s="13">
        <v>0</v>
      </c>
      <c r="F22" s="13">
        <v>0</v>
      </c>
      <c r="G22" s="14">
        <f t="shared" si="0"/>
        <v>0</v>
      </c>
      <c r="H22" s="14">
        <f>IF(OR(WEEKDAY($B22,2)&gt;5,COUNTIF(FESTIVOS!$A:$A,$B22)&gt;0),0,$H$3*24)</f>
        <v>0.49999999999999989</v>
      </c>
      <c r="I22" s="14">
        <f>IF(OR(WEEKDAY($B22,2)&gt;5,COUNTIF(FESTIVOS!$A:$A,$B22)&gt;0),0,$I$3*24)</f>
        <v>8</v>
      </c>
      <c r="J22" s="14">
        <f>IF(OR(WEEKDAY($B22,2)&gt;5,COUNTIF(FESTIVOS!$A:$A,$B22)&gt;0),"",G22-I22-H22)</f>
        <v>-8.5</v>
      </c>
      <c r="K22" s="14" t="str">
        <f>IF(OR(WEEKDAY($B22,2)&gt;5,COUNTIF(FESTIVOS!$A:$A,$B22)&gt;0),G22,"")</f>
        <v/>
      </c>
      <c r="L22" s="11"/>
    </row>
    <row r="23" spans="1:12" x14ac:dyDescent="0.3">
      <c r="A23" s="11" t="s">
        <v>17</v>
      </c>
      <c r="B23" s="12">
        <v>46071</v>
      </c>
      <c r="C23" s="13">
        <v>0</v>
      </c>
      <c r="D23" s="13">
        <v>0</v>
      </c>
      <c r="E23" s="13">
        <v>0</v>
      </c>
      <c r="F23" s="13">
        <v>0</v>
      </c>
      <c r="G23" s="14">
        <f t="shared" si="0"/>
        <v>0</v>
      </c>
      <c r="H23" s="14">
        <f>IF(OR(WEEKDAY($B23,2)&gt;5,COUNTIF(FESTIVOS!$A:$A,$B23)&gt;0),0,$H$3*24)</f>
        <v>0.49999999999999989</v>
      </c>
      <c r="I23" s="14">
        <f>IF(OR(WEEKDAY($B23,2)&gt;5,COUNTIF(FESTIVOS!$A:$A,$B23)&gt;0),0,$I$3*24)</f>
        <v>8</v>
      </c>
      <c r="J23" s="14">
        <f>IF(OR(WEEKDAY($B23,2)&gt;5,COUNTIF(FESTIVOS!$A:$A,$B23)&gt;0),"",G23-I23-H23)</f>
        <v>-8.5</v>
      </c>
      <c r="K23" s="14" t="str">
        <f>IF(OR(WEEKDAY($B23,2)&gt;5,COUNTIF(FESTIVOS!$A:$A,$B23)&gt;0),G23,"")</f>
        <v/>
      </c>
      <c r="L23" s="11"/>
    </row>
    <row r="24" spans="1:12" x14ac:dyDescent="0.3">
      <c r="A24" s="11" t="s">
        <v>18</v>
      </c>
      <c r="B24" s="12">
        <v>46072</v>
      </c>
      <c r="C24" s="13">
        <v>0</v>
      </c>
      <c r="D24" s="13">
        <v>0</v>
      </c>
      <c r="E24" s="13">
        <v>0</v>
      </c>
      <c r="F24" s="13">
        <v>0</v>
      </c>
      <c r="G24" s="14">
        <f t="shared" si="0"/>
        <v>0</v>
      </c>
      <c r="H24" s="14">
        <f>IF(OR(WEEKDAY($B24,2)&gt;5,COUNTIF(FESTIVOS!$A:$A,$B24)&gt;0),0,$H$3*24)</f>
        <v>0.49999999999999989</v>
      </c>
      <c r="I24" s="14">
        <f>IF(OR(WEEKDAY($B24,2)&gt;5,COUNTIF(FESTIVOS!$A:$A,$B24)&gt;0),0,$I$3*24)</f>
        <v>8</v>
      </c>
      <c r="J24" s="14">
        <f>IF(OR(WEEKDAY($B24,2)&gt;5,COUNTIF(FESTIVOS!$A:$A,$B24)&gt;0),"",G24-I24-H24)</f>
        <v>-8.5</v>
      </c>
      <c r="K24" s="14" t="str">
        <f>IF(OR(WEEKDAY($B24,2)&gt;5,COUNTIF(FESTIVOS!$A:$A,$B24)&gt;0),G24,"")</f>
        <v/>
      </c>
      <c r="L24" s="11"/>
    </row>
    <row r="25" spans="1:12" x14ac:dyDescent="0.3">
      <c r="A25" s="11" t="s">
        <v>19</v>
      </c>
      <c r="B25" s="12">
        <v>46073</v>
      </c>
      <c r="C25" s="13">
        <v>0</v>
      </c>
      <c r="D25" s="13">
        <v>0</v>
      </c>
      <c r="E25" s="13">
        <v>0</v>
      </c>
      <c r="F25" s="13">
        <v>0</v>
      </c>
      <c r="G25" s="14">
        <f t="shared" si="0"/>
        <v>0</v>
      </c>
      <c r="H25" s="14">
        <f>IF(OR(WEEKDAY($B25,2)&gt;5,COUNTIF(FESTIVOS!$A:$A,$B25)&gt;0),0,$H$3*24)</f>
        <v>0.49999999999999989</v>
      </c>
      <c r="I25" s="14">
        <f>IF(OR(WEEKDAY($B25,2)&gt;5,COUNTIF(FESTIVOS!$A:$A,$B25)&gt;0),0,$I$3*24)</f>
        <v>8</v>
      </c>
      <c r="J25" s="14">
        <f>IF(OR(WEEKDAY($B25,2)&gt;5,COUNTIF(FESTIVOS!$A:$A,$B25)&gt;0),"",G25-I25-H25)</f>
        <v>-8.5</v>
      </c>
      <c r="K25" s="14" t="str">
        <f>IF(OR(WEEKDAY($B25,2)&gt;5,COUNTIF(FESTIVOS!$A:$A,$B25)&gt;0),G25,"")</f>
        <v/>
      </c>
      <c r="L25" s="11"/>
    </row>
    <row r="26" spans="1:12" x14ac:dyDescent="0.3">
      <c r="A26" s="15" t="s">
        <v>20</v>
      </c>
      <c r="B26" s="16">
        <v>46074</v>
      </c>
      <c r="C26" s="17">
        <v>0</v>
      </c>
      <c r="D26" s="17">
        <v>0</v>
      </c>
      <c r="E26" s="17">
        <v>0</v>
      </c>
      <c r="F26" s="17">
        <v>0</v>
      </c>
      <c r="G26" s="18">
        <f t="shared" si="0"/>
        <v>0</v>
      </c>
      <c r="H26" s="18">
        <f>IF(OR(WEEKDAY($B26,2)&gt;5,COUNTIF(FESTIVOS!$A:$A,$B26)&gt;0),0,$H$3*24)</f>
        <v>0</v>
      </c>
      <c r="I26" s="18">
        <f>IF(OR(WEEKDAY($B26,2)&gt;5,COUNTIF(FESTIVOS!$A:$A,$B26)&gt;0),0,$I$3*24)</f>
        <v>0</v>
      </c>
      <c r="J26" s="18" t="str">
        <f>IF(OR(WEEKDAY($B26,2)&gt;5,COUNTIF(FESTIVOS!$A:$A,$B26)&gt;0),"",G26-I26-H26)</f>
        <v/>
      </c>
      <c r="K26" s="18">
        <f>IF(OR(WEEKDAY($B26,2)&gt;5,COUNTIF(FESTIVOS!$A:$A,$B26)&gt;0),G26,"")</f>
        <v>0</v>
      </c>
      <c r="L26" s="15"/>
    </row>
    <row r="27" spans="1:12" x14ac:dyDescent="0.3">
      <c r="A27" s="15" t="s">
        <v>21</v>
      </c>
      <c r="B27" s="16">
        <v>46075</v>
      </c>
      <c r="C27" s="17">
        <v>0</v>
      </c>
      <c r="D27" s="17">
        <v>0</v>
      </c>
      <c r="E27" s="17">
        <v>0</v>
      </c>
      <c r="F27" s="17">
        <v>0</v>
      </c>
      <c r="G27" s="18">
        <f t="shared" si="0"/>
        <v>0</v>
      </c>
      <c r="H27" s="18">
        <f>IF(OR(WEEKDAY($B27,2)&gt;5,COUNTIF(FESTIVOS!$A:$A,$B27)&gt;0),0,$H$3*24)</f>
        <v>0</v>
      </c>
      <c r="I27" s="18">
        <f>IF(OR(WEEKDAY($B27,2)&gt;5,COUNTIF(FESTIVOS!$A:$A,$B27)&gt;0),0,$I$3*24)</f>
        <v>0</v>
      </c>
      <c r="J27" s="18" t="str">
        <f>IF(OR(WEEKDAY($B27,2)&gt;5,COUNTIF(FESTIVOS!$A:$A,$B27)&gt;0),"",G27-I27-H27)</f>
        <v/>
      </c>
      <c r="K27" s="18">
        <f>IF(OR(WEEKDAY($B27,2)&gt;5,COUNTIF(FESTIVOS!$A:$A,$B27)&gt;0),G27,"")</f>
        <v>0</v>
      </c>
      <c r="L27" s="15"/>
    </row>
    <row r="28" spans="1:12" x14ac:dyDescent="0.3">
      <c r="A28" s="11" t="s">
        <v>15</v>
      </c>
      <c r="B28" s="12">
        <v>46076</v>
      </c>
      <c r="C28" s="13">
        <v>0</v>
      </c>
      <c r="D28" s="13">
        <v>0</v>
      </c>
      <c r="E28" s="13">
        <v>0</v>
      </c>
      <c r="F28" s="13">
        <v>0</v>
      </c>
      <c r="G28" s="14">
        <f t="shared" si="0"/>
        <v>0</v>
      </c>
      <c r="H28" s="14">
        <f>IF(OR(WEEKDAY($B28,2)&gt;5,COUNTIF(FESTIVOS!$A:$A,$B28)&gt;0),0,$H$3*24)</f>
        <v>0.49999999999999989</v>
      </c>
      <c r="I28" s="14">
        <f>IF(OR(WEEKDAY($B28,2)&gt;5,COUNTIF(FESTIVOS!$A:$A,$B28)&gt;0),0,$I$3*24)</f>
        <v>8</v>
      </c>
      <c r="J28" s="14">
        <f>IF(OR(WEEKDAY($B28,2)&gt;5,COUNTIF(FESTIVOS!$A:$A,$B28)&gt;0),"",G28-I28-H28)</f>
        <v>-8.5</v>
      </c>
      <c r="K28" s="14" t="str">
        <f>IF(OR(WEEKDAY($B28,2)&gt;5,COUNTIF(FESTIVOS!$A:$A,$B28)&gt;0),G28,"")</f>
        <v/>
      </c>
      <c r="L28" s="11"/>
    </row>
    <row r="29" spans="1:12" x14ac:dyDescent="0.3">
      <c r="A29" s="11" t="s">
        <v>16</v>
      </c>
      <c r="B29" s="12">
        <v>46077</v>
      </c>
      <c r="C29" s="13">
        <v>0</v>
      </c>
      <c r="D29" s="13">
        <v>0</v>
      </c>
      <c r="E29" s="13">
        <v>0</v>
      </c>
      <c r="F29" s="13">
        <v>0</v>
      </c>
      <c r="G29" s="14">
        <f t="shared" si="0"/>
        <v>0</v>
      </c>
      <c r="H29" s="14">
        <f>IF(OR(WEEKDAY($B29,2)&gt;5,COUNTIF(FESTIVOS!$A:$A,$B29)&gt;0),0,$H$3*24)</f>
        <v>0.49999999999999989</v>
      </c>
      <c r="I29" s="14">
        <f>IF(OR(WEEKDAY($B29,2)&gt;5,COUNTIF(FESTIVOS!$A:$A,$B29)&gt;0),0,$I$3*24)</f>
        <v>8</v>
      </c>
      <c r="J29" s="14">
        <f>IF(OR(WEEKDAY($B29,2)&gt;5,COUNTIF(FESTIVOS!$A:$A,$B29)&gt;0),"",G29-I29-H29)</f>
        <v>-8.5</v>
      </c>
      <c r="K29" s="14" t="str">
        <f>IF(OR(WEEKDAY($B29,2)&gt;5,COUNTIF(FESTIVOS!$A:$A,$B29)&gt;0),G29,"")</f>
        <v/>
      </c>
      <c r="L29" s="11"/>
    </row>
    <row r="30" spans="1:12" x14ac:dyDescent="0.3">
      <c r="A30" s="11" t="s">
        <v>17</v>
      </c>
      <c r="B30" s="12">
        <v>46078</v>
      </c>
      <c r="C30" s="13">
        <v>0</v>
      </c>
      <c r="D30" s="13">
        <v>0</v>
      </c>
      <c r="E30" s="13">
        <v>0</v>
      </c>
      <c r="F30" s="13">
        <v>0</v>
      </c>
      <c r="G30" s="14">
        <f t="shared" si="0"/>
        <v>0</v>
      </c>
      <c r="H30" s="14">
        <f>IF(OR(WEEKDAY($B30,2)&gt;5,COUNTIF(FESTIVOS!$A:$A,$B30)&gt;0),0,$H$3*24)</f>
        <v>0.49999999999999989</v>
      </c>
      <c r="I30" s="14">
        <f>IF(OR(WEEKDAY($B30,2)&gt;5,COUNTIF(FESTIVOS!$A:$A,$B30)&gt;0),0,$I$3*24)</f>
        <v>8</v>
      </c>
      <c r="J30" s="14">
        <f>IF(OR(WEEKDAY($B30,2)&gt;5,COUNTIF(FESTIVOS!$A:$A,$B30)&gt;0),"",G30-I30-H30)</f>
        <v>-8.5</v>
      </c>
      <c r="K30" s="14" t="str">
        <f>IF(OR(WEEKDAY($B30,2)&gt;5,COUNTIF(FESTIVOS!$A:$A,$B30)&gt;0),G30,"")</f>
        <v/>
      </c>
      <c r="L30" s="11"/>
    </row>
    <row r="31" spans="1:12" x14ac:dyDescent="0.3">
      <c r="A31" s="11" t="s">
        <v>18</v>
      </c>
      <c r="B31" s="12">
        <v>46079</v>
      </c>
      <c r="C31" s="13">
        <v>0</v>
      </c>
      <c r="D31" s="13">
        <v>0</v>
      </c>
      <c r="E31" s="13">
        <v>0</v>
      </c>
      <c r="F31" s="13">
        <v>0</v>
      </c>
      <c r="G31" s="14">
        <f t="shared" si="0"/>
        <v>0</v>
      </c>
      <c r="H31" s="14">
        <f>IF(OR(WEEKDAY($B31,2)&gt;5,COUNTIF(FESTIVOS!$A:$A,$B31)&gt;0),0,$H$3*24)</f>
        <v>0.49999999999999989</v>
      </c>
      <c r="I31" s="14">
        <f>IF(OR(WEEKDAY($B31,2)&gt;5,COUNTIF(FESTIVOS!$A:$A,$B31)&gt;0),0,$I$3*24)</f>
        <v>8</v>
      </c>
      <c r="J31" s="14">
        <f>IF(OR(WEEKDAY($B31,2)&gt;5,COUNTIF(FESTIVOS!$A:$A,$B31)&gt;0),"",G31-I31-H31)</f>
        <v>-8.5</v>
      </c>
      <c r="K31" s="14" t="str">
        <f>IF(OR(WEEKDAY($B31,2)&gt;5,COUNTIF(FESTIVOS!$A:$A,$B31)&gt;0),G31,"")</f>
        <v/>
      </c>
      <c r="L31" s="11"/>
    </row>
    <row r="32" spans="1:12" x14ac:dyDescent="0.3">
      <c r="A32" s="11" t="s">
        <v>19</v>
      </c>
      <c r="B32" s="12">
        <v>46080</v>
      </c>
      <c r="C32" s="13">
        <v>0</v>
      </c>
      <c r="D32" s="13">
        <v>0</v>
      </c>
      <c r="E32" s="13">
        <v>0</v>
      </c>
      <c r="F32" s="13">
        <v>0</v>
      </c>
      <c r="G32" s="14">
        <f t="shared" si="0"/>
        <v>0</v>
      </c>
      <c r="H32" s="14">
        <f>IF(OR(WEEKDAY($B32,2)&gt;5,COUNTIF(FESTIVOS!$A:$A,$B32)&gt;0),0,$H$3*24)</f>
        <v>0.49999999999999989</v>
      </c>
      <c r="I32" s="14">
        <f>IF(OR(WEEKDAY($B32,2)&gt;5,COUNTIF(FESTIVOS!$A:$A,$B32)&gt;0),0,$I$3*24)</f>
        <v>8</v>
      </c>
      <c r="J32" s="14">
        <f>IF(OR(WEEKDAY($B32,2)&gt;5,COUNTIF(FESTIVOS!$A:$A,$B32)&gt;0),"",G32-I32-H32)</f>
        <v>-8.5</v>
      </c>
      <c r="K32" s="14" t="str">
        <f>IF(OR(WEEKDAY($B32,2)&gt;5,COUNTIF(FESTIVOS!$A:$A,$B32)&gt;0),G32,"")</f>
        <v/>
      </c>
      <c r="L32" s="11"/>
    </row>
    <row r="33" spans="1:12" x14ac:dyDescent="0.3">
      <c r="A33" s="15" t="s">
        <v>20</v>
      </c>
      <c r="B33" s="16">
        <v>46081</v>
      </c>
      <c r="C33" s="17">
        <v>0</v>
      </c>
      <c r="D33" s="17">
        <v>0</v>
      </c>
      <c r="E33" s="17">
        <v>0</v>
      </c>
      <c r="F33" s="17">
        <v>0</v>
      </c>
      <c r="G33" s="18">
        <f t="shared" si="0"/>
        <v>0</v>
      </c>
      <c r="H33" s="18">
        <f>IF(OR(WEEKDAY($B33,2)&gt;5,COUNTIF(FESTIVOS!$A:$A,$B33)&gt;0),0,$H$3*24)</f>
        <v>0</v>
      </c>
      <c r="I33" s="18">
        <f>IF(OR(WEEKDAY($B33,2)&gt;5,COUNTIF(FESTIVOS!$A:$A,$B33)&gt;0),0,$I$3*24)</f>
        <v>0</v>
      </c>
      <c r="J33" s="18" t="str">
        <f>IF(OR(WEEKDAY($B33,2)&gt;5,COUNTIF(FESTIVOS!$A:$A,$B33)&gt;0),"",G33-I33-H33)</f>
        <v/>
      </c>
      <c r="K33" s="18">
        <f>IF(OR(WEEKDAY($B33,2)&gt;5,COUNTIF(FESTIVOS!$A:$A,$B33)&gt;0),G33,"")</f>
        <v>0</v>
      </c>
      <c r="L33" s="15"/>
    </row>
  </sheetData>
  <mergeCells count="1">
    <mergeCell ref="C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"/>
  <sheetViews>
    <sheetView workbookViewId="0">
      <selection activeCell="C10" sqref="C10"/>
    </sheetView>
  </sheetViews>
  <sheetFormatPr baseColWidth="10" defaultColWidth="9.140625" defaultRowHeight="16.5" x14ac:dyDescent="0.3"/>
  <cols>
    <col min="1" max="1" width="4.7109375" style="2" bestFit="1" customWidth="1"/>
    <col min="2" max="2" width="13.85546875" style="2" bestFit="1" customWidth="1"/>
    <col min="3" max="3" width="11.85546875" style="2" bestFit="1" customWidth="1"/>
    <col min="4" max="4" width="9.7109375" style="2" bestFit="1" customWidth="1"/>
    <col min="5" max="5" width="11.85546875" style="2" bestFit="1" customWidth="1"/>
    <col min="6" max="7" width="9.7109375" style="2" bestFit="1" customWidth="1"/>
    <col min="8" max="8" width="14.7109375" style="2" bestFit="1" customWidth="1"/>
    <col min="9" max="9" width="8" style="2" customWidth="1"/>
    <col min="10" max="10" width="9.28515625" style="2" bestFit="1" customWidth="1"/>
    <col min="11" max="11" width="17.5703125" style="2" bestFit="1" customWidth="1"/>
    <col min="12" max="12" width="20.140625" style="2" bestFit="1" customWidth="1"/>
    <col min="13" max="13" width="9.140625" style="2"/>
    <col min="14" max="14" width="11.5703125" style="2" bestFit="1" customWidth="1"/>
    <col min="15" max="15" width="22.85546875" style="2" bestFit="1" customWidth="1"/>
    <col min="16" max="16" width="11.5703125" style="2" bestFit="1" customWidth="1"/>
    <col min="17" max="16384" width="9.140625" style="2"/>
  </cols>
  <sheetData>
    <row r="1" spans="1:16" ht="18" x14ac:dyDescent="0.35">
      <c r="N1" s="3">
        <v>9</v>
      </c>
      <c r="O1" s="3">
        <v>10</v>
      </c>
    </row>
    <row r="2" spans="1:16" ht="18" x14ac:dyDescent="0.35">
      <c r="C2" s="4" t="s">
        <v>0</v>
      </c>
      <c r="D2" s="5"/>
      <c r="F2" s="6" t="s">
        <v>1</v>
      </c>
      <c r="N2" s="6" t="s">
        <v>2</v>
      </c>
      <c r="O2" s="6" t="s">
        <v>3</v>
      </c>
    </row>
    <row r="3" spans="1:16" ht="18" x14ac:dyDescent="0.35">
      <c r="F3" s="6" t="s">
        <v>24</v>
      </c>
      <c r="H3" s="7">
        <v>2.0833333333333329E-2</v>
      </c>
      <c r="I3" s="7">
        <v>0.33333333333333331</v>
      </c>
      <c r="N3" s="8" t="e">
        <f>SUMPRODUCT((J6:J36&gt;0)*(J6:J36))</f>
        <v>#VALUE!</v>
      </c>
      <c r="O3" s="8">
        <f>SUM(K6:K36)</f>
        <v>0</v>
      </c>
    </row>
    <row r="4" spans="1:16" ht="18" x14ac:dyDescent="0.35">
      <c r="P4" s="6" t="s">
        <v>5</v>
      </c>
    </row>
    <row r="5" spans="1:16" ht="18" x14ac:dyDescent="0.35">
      <c r="A5" s="9" t="s">
        <v>6</v>
      </c>
      <c r="B5" s="9" t="s">
        <v>7</v>
      </c>
      <c r="C5" s="9" t="s">
        <v>8</v>
      </c>
      <c r="D5" s="9" t="s">
        <v>9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2</v>
      </c>
      <c r="K5" s="9" t="s">
        <v>13</v>
      </c>
      <c r="L5" s="9" t="s">
        <v>14</v>
      </c>
      <c r="N5" s="10" t="e">
        <f>N3*N1</f>
        <v>#VALUE!</v>
      </c>
      <c r="O5" s="10">
        <f>O3*O1</f>
        <v>0</v>
      </c>
      <c r="P5" s="10" t="e">
        <f>N5+O5</f>
        <v>#VALUE!</v>
      </c>
    </row>
    <row r="6" spans="1:16" x14ac:dyDescent="0.3">
      <c r="A6" s="15" t="s">
        <v>21</v>
      </c>
      <c r="B6" s="16">
        <v>46082</v>
      </c>
      <c r="C6" s="17">
        <v>0</v>
      </c>
      <c r="D6" s="17">
        <v>0</v>
      </c>
      <c r="E6" s="17">
        <v>0</v>
      </c>
      <c r="F6" s="17">
        <v>0</v>
      </c>
      <c r="G6" s="18">
        <f t="shared" ref="G6:G36" si="0">IF(AND(C6="",D6="",E6="",F6=""),0,(F6-E6+D6-C6)*24)</f>
        <v>0</v>
      </c>
      <c r="H6" s="18">
        <f>IF(OR(WEEKDAY($B6,2)&gt;5,COUNTIF(FESTIVOS!$A:$A,$B6)&gt;0),0,$H$3*24)</f>
        <v>0</v>
      </c>
      <c r="I6" s="18">
        <f>IF(OR(WEEKDAY($B6,2)&gt;5,COUNTIF(FESTIVOS!$A:$A,$B6)&gt;0),0,$I$3*24)</f>
        <v>0</v>
      </c>
      <c r="J6" s="18" t="str">
        <f>IF(OR(WEEKDAY($B6,2)&gt;5,COUNTIF(FESTIVOS!$A:$A,$B6)&gt;0),"",G6-I6-H6)</f>
        <v/>
      </c>
      <c r="K6" s="18">
        <f>IF(OR(WEEKDAY($B6,2)&gt;5,COUNTIF(FESTIVOS!$A:$A,$B6)&gt;0),G6,"")</f>
        <v>0</v>
      </c>
      <c r="L6" s="15"/>
    </row>
    <row r="7" spans="1:16" x14ac:dyDescent="0.3">
      <c r="A7" s="15" t="s">
        <v>15</v>
      </c>
      <c r="B7" s="16">
        <v>46083</v>
      </c>
      <c r="C7" s="17">
        <v>0</v>
      </c>
      <c r="D7" s="17">
        <v>0</v>
      </c>
      <c r="E7" s="17">
        <v>0</v>
      </c>
      <c r="F7" s="17">
        <v>0</v>
      </c>
      <c r="G7" s="18">
        <f t="shared" si="0"/>
        <v>0</v>
      </c>
      <c r="H7" s="18">
        <f>IF(OR(WEEKDAY($B7,2)&gt;5,COUNTIF(FESTIVOS!$A:$A,$B7)&gt;0),0,$H$3*24)</f>
        <v>0</v>
      </c>
      <c r="I7" s="18">
        <f>IF(OR(WEEKDAY($B7,2)&gt;5,COUNTIF(FESTIVOS!$A:$A,$B7)&gt;0),0,$I$3*24)</f>
        <v>0</v>
      </c>
      <c r="J7" s="18" t="str">
        <f>IF(OR(WEEKDAY($B7,2)&gt;5,COUNTIF(FESTIVOS!$A:$A,$B7)&gt;0),"",G7-I7-H7)</f>
        <v/>
      </c>
      <c r="K7" s="18">
        <f>IF(OR(WEEKDAY($B7,2)&gt;5,COUNTIF(FESTIVOS!$A:$A,$B7)&gt;0),G7,"")</f>
        <v>0</v>
      </c>
      <c r="L7" s="15"/>
    </row>
    <row r="8" spans="1:16" x14ac:dyDescent="0.3">
      <c r="A8" s="11" t="s">
        <v>16</v>
      </c>
      <c r="B8" s="12">
        <v>46084</v>
      </c>
      <c r="C8" s="13">
        <v>0</v>
      </c>
      <c r="D8" s="13">
        <v>0</v>
      </c>
      <c r="E8" s="13">
        <v>0</v>
      </c>
      <c r="F8" s="13">
        <v>0</v>
      </c>
      <c r="G8" s="14">
        <f t="shared" si="0"/>
        <v>0</v>
      </c>
      <c r="H8" s="14">
        <f>IF(OR(WEEKDAY($B8,2)&gt;5,COUNTIF(FESTIVOS!$A:$A,$B8)&gt;0),0,$H$3*24)</f>
        <v>0.49999999999999989</v>
      </c>
      <c r="I8" s="14">
        <f>IF(OR(WEEKDAY($B8,2)&gt;5,COUNTIF(FESTIVOS!$A:$A,$B8)&gt;0),0,$I$3*24)</f>
        <v>8</v>
      </c>
      <c r="J8" s="14">
        <f>IF(OR(WEEKDAY($B8,2)&gt;5,COUNTIF(FESTIVOS!$A:$A,$B8)&gt;0),"",G8-I8-H8)</f>
        <v>-8.5</v>
      </c>
      <c r="K8" s="14" t="str">
        <f>IF(OR(WEEKDAY($B8,2)&gt;5,COUNTIF(FESTIVOS!$A:$A,$B8)&gt;0),G8,"")</f>
        <v/>
      </c>
      <c r="L8" s="11"/>
    </row>
    <row r="9" spans="1:16" x14ac:dyDescent="0.3">
      <c r="A9" s="11" t="s">
        <v>17</v>
      </c>
      <c r="B9" s="12">
        <v>46085</v>
      </c>
      <c r="C9" s="13">
        <v>0</v>
      </c>
      <c r="D9" s="13">
        <v>0</v>
      </c>
      <c r="E9" s="13">
        <v>0</v>
      </c>
      <c r="F9" s="13">
        <v>0</v>
      </c>
      <c r="G9" s="14">
        <f t="shared" si="0"/>
        <v>0</v>
      </c>
      <c r="H9" s="14">
        <f>IF(OR(WEEKDAY($B9,2)&gt;5,COUNTIF(FESTIVOS!$A:$A,$B9)&gt;0),0,$H$3*24)</f>
        <v>0.49999999999999989</v>
      </c>
      <c r="I9" s="14">
        <f>IF(OR(WEEKDAY($B9,2)&gt;5,COUNTIF(FESTIVOS!$A:$A,$B9)&gt;0),0,$I$3*24)</f>
        <v>8</v>
      </c>
      <c r="J9" s="14">
        <f>IF(OR(WEEKDAY($B9,2)&gt;5,COUNTIF(FESTIVOS!$A:$A,$B9)&gt;0),"",G9-I9-H9)</f>
        <v>-8.5</v>
      </c>
      <c r="K9" s="14" t="str">
        <f>IF(OR(WEEKDAY($B9,2)&gt;5,COUNTIF(FESTIVOS!$A:$A,$B9)&gt;0),G9,"")</f>
        <v/>
      </c>
      <c r="L9" s="11"/>
    </row>
    <row r="10" spans="1:16" x14ac:dyDescent="0.3">
      <c r="A10" s="11" t="s">
        <v>18</v>
      </c>
      <c r="B10" s="12">
        <v>46086</v>
      </c>
      <c r="C10" s="13">
        <v>0</v>
      </c>
      <c r="D10" s="13">
        <v>0</v>
      </c>
      <c r="E10" s="13">
        <v>0</v>
      </c>
      <c r="F10" s="13">
        <v>0</v>
      </c>
      <c r="G10" s="14">
        <f t="shared" si="0"/>
        <v>0</v>
      </c>
      <c r="H10" s="14">
        <f>IF(OR(WEEKDAY($B10,2)&gt;5,COUNTIF(FESTIVOS!$A:$A,$B10)&gt;0),0,$H$3*24)</f>
        <v>0.49999999999999989</v>
      </c>
      <c r="I10" s="14">
        <f>IF(OR(WEEKDAY($B10,2)&gt;5,COUNTIF(FESTIVOS!$A:$A,$B10)&gt;0),0,$I$3*24)</f>
        <v>8</v>
      </c>
      <c r="J10" s="14">
        <f>IF(OR(WEEKDAY($B10,2)&gt;5,COUNTIF(FESTIVOS!$A:$A,$B10)&gt;0),"",G10-I10-H10)</f>
        <v>-8.5</v>
      </c>
      <c r="K10" s="14" t="str">
        <f>IF(OR(WEEKDAY($B10,2)&gt;5,COUNTIF(FESTIVOS!$A:$A,$B10)&gt;0),G10,"")</f>
        <v/>
      </c>
      <c r="L10" s="11"/>
    </row>
    <row r="11" spans="1:16" x14ac:dyDescent="0.3">
      <c r="A11" s="11" t="s">
        <v>19</v>
      </c>
      <c r="B11" s="12">
        <v>46087</v>
      </c>
      <c r="C11" s="13">
        <v>0</v>
      </c>
      <c r="D11" s="13">
        <v>0</v>
      </c>
      <c r="E11" s="13">
        <v>0</v>
      </c>
      <c r="F11" s="13">
        <v>0</v>
      </c>
      <c r="G11" s="14">
        <f t="shared" si="0"/>
        <v>0</v>
      </c>
      <c r="H11" s="14">
        <f>IF(OR(WEEKDAY($B11,2)&gt;5,COUNTIF(FESTIVOS!$A:$A,$B11)&gt;0),0,$H$3*24)</f>
        <v>0.49999999999999989</v>
      </c>
      <c r="I11" s="14">
        <f>IF(OR(WEEKDAY($B11,2)&gt;5,COUNTIF(FESTIVOS!$A:$A,$B11)&gt;0),0,$I$3*24)</f>
        <v>8</v>
      </c>
      <c r="J11" s="14">
        <f>IF(OR(WEEKDAY($B11,2)&gt;5,COUNTIF(FESTIVOS!$A:$A,$B11)&gt;0),"",G11-I11-H11)</f>
        <v>-8.5</v>
      </c>
      <c r="K11" s="14" t="str">
        <f>IF(OR(WEEKDAY($B11,2)&gt;5,COUNTIF(FESTIVOS!$A:$A,$B11)&gt;0),G11,"")</f>
        <v/>
      </c>
      <c r="L11" s="11"/>
    </row>
    <row r="12" spans="1:16" x14ac:dyDescent="0.3">
      <c r="A12" s="15" t="s">
        <v>20</v>
      </c>
      <c r="B12" s="16">
        <v>46088</v>
      </c>
      <c r="C12" s="17">
        <v>0</v>
      </c>
      <c r="D12" s="17">
        <v>0</v>
      </c>
      <c r="E12" s="17">
        <v>0</v>
      </c>
      <c r="F12" s="17">
        <v>0</v>
      </c>
      <c r="G12" s="18">
        <f t="shared" si="0"/>
        <v>0</v>
      </c>
      <c r="H12" s="18">
        <f>IF(OR(WEEKDAY($B12,2)&gt;5,COUNTIF(FESTIVOS!$A:$A,$B12)&gt;0),0,$H$3*24)</f>
        <v>0</v>
      </c>
      <c r="I12" s="18">
        <f>IF(OR(WEEKDAY($B12,2)&gt;5,COUNTIF(FESTIVOS!$A:$A,$B12)&gt;0),0,$I$3*24)</f>
        <v>0</v>
      </c>
      <c r="J12" s="18" t="str">
        <f>IF(OR(WEEKDAY($B12,2)&gt;5,COUNTIF(FESTIVOS!$A:$A,$B12)&gt;0),"",G12-I12-H12)</f>
        <v/>
      </c>
      <c r="K12" s="18">
        <f>IF(OR(WEEKDAY($B12,2)&gt;5,COUNTIF(FESTIVOS!$A:$A,$B12)&gt;0),G12,"")</f>
        <v>0</v>
      </c>
      <c r="L12" s="15"/>
    </row>
    <row r="13" spans="1:16" x14ac:dyDescent="0.3">
      <c r="A13" s="15" t="s">
        <v>21</v>
      </c>
      <c r="B13" s="16">
        <v>46089</v>
      </c>
      <c r="C13" s="17">
        <v>0</v>
      </c>
      <c r="D13" s="17">
        <v>0</v>
      </c>
      <c r="E13" s="17">
        <v>0</v>
      </c>
      <c r="F13" s="17">
        <v>0</v>
      </c>
      <c r="G13" s="18">
        <f t="shared" si="0"/>
        <v>0</v>
      </c>
      <c r="H13" s="18">
        <f>IF(OR(WEEKDAY($B13,2)&gt;5,COUNTIF(FESTIVOS!$A:$A,$B13)&gt;0),0,$H$3*24)</f>
        <v>0</v>
      </c>
      <c r="I13" s="18">
        <f>IF(OR(WEEKDAY($B13,2)&gt;5,COUNTIF(FESTIVOS!$A:$A,$B13)&gt;0),0,$I$3*24)</f>
        <v>0</v>
      </c>
      <c r="J13" s="18" t="str">
        <f>IF(OR(WEEKDAY($B13,2)&gt;5,COUNTIF(FESTIVOS!$A:$A,$B13)&gt;0),"",G13-I13-H13)</f>
        <v/>
      </c>
      <c r="K13" s="18">
        <f>IF(OR(WEEKDAY($B13,2)&gt;5,COUNTIF(FESTIVOS!$A:$A,$B13)&gt;0),G13,"")</f>
        <v>0</v>
      </c>
      <c r="L13" s="15"/>
    </row>
    <row r="14" spans="1:16" x14ac:dyDescent="0.3">
      <c r="A14" s="11" t="s">
        <v>15</v>
      </c>
      <c r="B14" s="12">
        <v>46090</v>
      </c>
      <c r="C14" s="13">
        <v>0</v>
      </c>
      <c r="D14" s="13">
        <v>0</v>
      </c>
      <c r="E14" s="13">
        <v>0</v>
      </c>
      <c r="F14" s="13">
        <v>0</v>
      </c>
      <c r="G14" s="14">
        <f t="shared" si="0"/>
        <v>0</v>
      </c>
      <c r="H14" s="14">
        <f>IF(OR(WEEKDAY($B14,2)&gt;5,COUNTIF(FESTIVOS!$A:$A,$B14)&gt;0),0,$H$3*24)</f>
        <v>0.49999999999999989</v>
      </c>
      <c r="I14" s="14">
        <f>IF(OR(WEEKDAY($B14,2)&gt;5,COUNTIF(FESTIVOS!$A:$A,$B14)&gt;0),0,$I$3*24)</f>
        <v>8</v>
      </c>
      <c r="J14" s="14">
        <f>IF(OR(WEEKDAY($B14,2)&gt;5,COUNTIF(FESTIVOS!$A:$A,$B14)&gt;0),"",G14-I14-H14)</f>
        <v>-8.5</v>
      </c>
      <c r="K14" s="14" t="str">
        <f>IF(OR(WEEKDAY($B14,2)&gt;5,COUNTIF(FESTIVOS!$A:$A,$B14)&gt;0),G14,"")</f>
        <v/>
      </c>
      <c r="L14" s="11"/>
    </row>
    <row r="15" spans="1:16" x14ac:dyDescent="0.3">
      <c r="A15" s="11" t="s">
        <v>16</v>
      </c>
      <c r="B15" s="12">
        <v>46091</v>
      </c>
      <c r="C15" s="13">
        <v>0</v>
      </c>
      <c r="D15" s="13">
        <v>0</v>
      </c>
      <c r="E15" s="13">
        <v>0</v>
      </c>
      <c r="F15" s="13">
        <v>0</v>
      </c>
      <c r="G15" s="14">
        <f t="shared" si="0"/>
        <v>0</v>
      </c>
      <c r="H15" s="14">
        <f>IF(OR(WEEKDAY($B15,2)&gt;5,COUNTIF(FESTIVOS!$A:$A,$B15)&gt;0),0,$H$3*24)</f>
        <v>0.49999999999999989</v>
      </c>
      <c r="I15" s="14">
        <f>IF(OR(WEEKDAY($B15,2)&gt;5,COUNTIF(FESTIVOS!$A:$A,$B15)&gt;0),0,$I$3*24)</f>
        <v>8</v>
      </c>
      <c r="J15" s="14">
        <f>IF(OR(WEEKDAY($B15,2)&gt;5,COUNTIF(FESTIVOS!$A:$A,$B15)&gt;0),"",G15-I15-H15)</f>
        <v>-8.5</v>
      </c>
      <c r="K15" s="14" t="str">
        <f>IF(OR(WEEKDAY($B15,2)&gt;5,COUNTIF(FESTIVOS!$A:$A,$B15)&gt;0),G15,"")</f>
        <v/>
      </c>
      <c r="L15" s="11"/>
    </row>
    <row r="16" spans="1:16" x14ac:dyDescent="0.3">
      <c r="A16" s="11" t="s">
        <v>17</v>
      </c>
      <c r="B16" s="12">
        <v>46092</v>
      </c>
      <c r="C16" s="13">
        <v>0</v>
      </c>
      <c r="D16" s="13">
        <v>0</v>
      </c>
      <c r="E16" s="13">
        <v>0</v>
      </c>
      <c r="F16" s="13">
        <v>0</v>
      </c>
      <c r="G16" s="14">
        <f t="shared" si="0"/>
        <v>0</v>
      </c>
      <c r="H16" s="14">
        <f>IF(OR(WEEKDAY($B16,2)&gt;5,COUNTIF(FESTIVOS!$A:$A,$B16)&gt;0),0,$H$3*24)</f>
        <v>0.49999999999999989</v>
      </c>
      <c r="I16" s="14">
        <f>IF(OR(WEEKDAY($B16,2)&gt;5,COUNTIF(FESTIVOS!$A:$A,$B16)&gt;0),0,$I$3*24)</f>
        <v>8</v>
      </c>
      <c r="J16" s="14">
        <f>IF(OR(WEEKDAY($B16,2)&gt;5,COUNTIF(FESTIVOS!$A:$A,$B16)&gt;0),"",G16-I16-H16)</f>
        <v>-8.5</v>
      </c>
      <c r="K16" s="14" t="str">
        <f>IF(OR(WEEKDAY($B16,2)&gt;5,COUNTIF(FESTIVOS!$A:$A,$B16)&gt;0),G16,"")</f>
        <v/>
      </c>
      <c r="L16" s="11"/>
    </row>
    <row r="17" spans="1:12" x14ac:dyDescent="0.3">
      <c r="A17" s="11" t="s">
        <v>18</v>
      </c>
      <c r="B17" s="12">
        <v>46093</v>
      </c>
      <c r="C17" s="13">
        <v>0</v>
      </c>
      <c r="D17" s="13">
        <v>0</v>
      </c>
      <c r="E17" s="13">
        <v>0</v>
      </c>
      <c r="F17" s="13">
        <v>0</v>
      </c>
      <c r="G17" s="14">
        <f t="shared" si="0"/>
        <v>0</v>
      </c>
      <c r="H17" s="14">
        <f>IF(OR(WEEKDAY($B17,2)&gt;5,COUNTIF(FESTIVOS!$A:$A,$B17)&gt;0),0,$H$3*24)</f>
        <v>0.49999999999999989</v>
      </c>
      <c r="I17" s="14">
        <f>IF(OR(WEEKDAY($B17,2)&gt;5,COUNTIF(FESTIVOS!$A:$A,$B17)&gt;0),0,$I$3*24)</f>
        <v>8</v>
      </c>
      <c r="J17" s="14">
        <f>IF(OR(WEEKDAY($B17,2)&gt;5,COUNTIF(FESTIVOS!$A:$A,$B17)&gt;0),"",G17-I17-H17)</f>
        <v>-8.5</v>
      </c>
      <c r="K17" s="14" t="str">
        <f>IF(OR(WEEKDAY($B17,2)&gt;5,COUNTIF(FESTIVOS!$A:$A,$B17)&gt;0),G17,"")</f>
        <v/>
      </c>
      <c r="L17" s="11"/>
    </row>
    <row r="18" spans="1:12" x14ac:dyDescent="0.3">
      <c r="A18" s="11" t="s">
        <v>19</v>
      </c>
      <c r="B18" s="12">
        <v>46094</v>
      </c>
      <c r="C18" s="13">
        <v>0</v>
      </c>
      <c r="D18" s="13">
        <v>0</v>
      </c>
      <c r="E18" s="13">
        <v>0</v>
      </c>
      <c r="F18" s="13">
        <v>0</v>
      </c>
      <c r="G18" s="14">
        <f t="shared" si="0"/>
        <v>0</v>
      </c>
      <c r="H18" s="14">
        <f>IF(OR(WEEKDAY($B18,2)&gt;5,COUNTIF(FESTIVOS!$A:$A,$B18)&gt;0),0,$H$3*24)</f>
        <v>0.49999999999999989</v>
      </c>
      <c r="I18" s="14">
        <f>IF(OR(WEEKDAY($B18,2)&gt;5,COUNTIF(FESTIVOS!$A:$A,$B18)&gt;0),0,$I$3*24)</f>
        <v>8</v>
      </c>
      <c r="J18" s="14">
        <f>IF(OR(WEEKDAY($B18,2)&gt;5,COUNTIF(FESTIVOS!$A:$A,$B18)&gt;0),"",G18-I18-H18)</f>
        <v>-8.5</v>
      </c>
      <c r="K18" s="14" t="str">
        <f>IF(OR(WEEKDAY($B18,2)&gt;5,COUNTIF(FESTIVOS!$A:$A,$B18)&gt;0),G18,"")</f>
        <v/>
      </c>
      <c r="L18" s="11"/>
    </row>
    <row r="19" spans="1:12" x14ac:dyDescent="0.3">
      <c r="A19" s="15" t="s">
        <v>20</v>
      </c>
      <c r="B19" s="16">
        <v>46095</v>
      </c>
      <c r="C19" s="17">
        <v>0</v>
      </c>
      <c r="D19" s="17">
        <v>0</v>
      </c>
      <c r="E19" s="17">
        <v>0</v>
      </c>
      <c r="F19" s="17">
        <v>0</v>
      </c>
      <c r="G19" s="18">
        <f t="shared" si="0"/>
        <v>0</v>
      </c>
      <c r="H19" s="18">
        <f>IF(OR(WEEKDAY($B19,2)&gt;5,COUNTIF(FESTIVOS!$A:$A,$B19)&gt;0),0,$H$3*24)</f>
        <v>0</v>
      </c>
      <c r="I19" s="18">
        <f>IF(OR(WEEKDAY($B19,2)&gt;5,COUNTIF(FESTIVOS!$A:$A,$B19)&gt;0),0,$I$3*24)</f>
        <v>0</v>
      </c>
      <c r="J19" s="18" t="str">
        <f>IF(OR(WEEKDAY($B19,2)&gt;5,COUNTIF(FESTIVOS!$A:$A,$B19)&gt;0),"",G19-I19-H19)</f>
        <v/>
      </c>
      <c r="K19" s="18">
        <f>IF(OR(WEEKDAY($B19,2)&gt;5,COUNTIF(FESTIVOS!$A:$A,$B19)&gt;0),G19,"")</f>
        <v>0</v>
      </c>
      <c r="L19" s="15"/>
    </row>
    <row r="20" spans="1:12" x14ac:dyDescent="0.3">
      <c r="A20" s="15" t="s">
        <v>21</v>
      </c>
      <c r="B20" s="16">
        <v>46096</v>
      </c>
      <c r="C20" s="17">
        <v>0</v>
      </c>
      <c r="D20" s="17">
        <v>0</v>
      </c>
      <c r="E20" s="17">
        <v>0</v>
      </c>
      <c r="F20" s="17">
        <v>0</v>
      </c>
      <c r="G20" s="18">
        <f t="shared" si="0"/>
        <v>0</v>
      </c>
      <c r="H20" s="18">
        <f>IF(OR(WEEKDAY($B20,2)&gt;5,COUNTIF(FESTIVOS!$A:$A,$B20)&gt;0),0,$H$3*24)</f>
        <v>0</v>
      </c>
      <c r="I20" s="18">
        <f>IF(OR(WEEKDAY($B20,2)&gt;5,COUNTIF(FESTIVOS!$A:$A,$B20)&gt;0),0,$I$3*24)</f>
        <v>0</v>
      </c>
      <c r="J20" s="18" t="str">
        <f>IF(OR(WEEKDAY($B20,2)&gt;5,COUNTIF(FESTIVOS!$A:$A,$B20)&gt;0),"",G20-I20-H20)</f>
        <v/>
      </c>
      <c r="K20" s="18">
        <f>IF(OR(WEEKDAY($B20,2)&gt;5,COUNTIF(FESTIVOS!$A:$A,$B20)&gt;0),G20,"")</f>
        <v>0</v>
      </c>
      <c r="L20" s="15"/>
    </row>
    <row r="21" spans="1:12" x14ac:dyDescent="0.3">
      <c r="A21" s="11" t="s">
        <v>15</v>
      </c>
      <c r="B21" s="12">
        <v>46097</v>
      </c>
      <c r="C21" s="13">
        <v>0</v>
      </c>
      <c r="D21" s="13">
        <v>0</v>
      </c>
      <c r="E21" s="13">
        <v>0</v>
      </c>
      <c r="F21" s="13">
        <v>0</v>
      </c>
      <c r="G21" s="14">
        <f t="shared" si="0"/>
        <v>0</v>
      </c>
      <c r="H21" s="14">
        <f>IF(OR(WEEKDAY($B21,2)&gt;5,COUNTIF(FESTIVOS!$A:$A,$B21)&gt;0),0,$H$3*24)</f>
        <v>0.49999999999999989</v>
      </c>
      <c r="I21" s="14">
        <f>IF(OR(WEEKDAY($B21,2)&gt;5,COUNTIF(FESTIVOS!$A:$A,$B21)&gt;0),0,$I$3*24)</f>
        <v>8</v>
      </c>
      <c r="J21" s="14">
        <f>IF(OR(WEEKDAY($B21,2)&gt;5,COUNTIF(FESTIVOS!$A:$A,$B21)&gt;0),"",G21-I21-H21)</f>
        <v>-8.5</v>
      </c>
      <c r="K21" s="14" t="str">
        <f>IF(OR(WEEKDAY($B21,2)&gt;5,COUNTIF(FESTIVOS!$A:$A,$B21)&gt;0),G21,"")</f>
        <v/>
      </c>
      <c r="L21" s="11"/>
    </row>
    <row r="22" spans="1:12" x14ac:dyDescent="0.3">
      <c r="A22" s="11" t="s">
        <v>16</v>
      </c>
      <c r="B22" s="12">
        <v>46098</v>
      </c>
      <c r="C22" s="13">
        <v>0</v>
      </c>
      <c r="D22" s="13">
        <v>0</v>
      </c>
      <c r="E22" s="13">
        <v>0</v>
      </c>
      <c r="F22" s="13">
        <v>0</v>
      </c>
      <c r="G22" s="14">
        <f t="shared" si="0"/>
        <v>0</v>
      </c>
      <c r="H22" s="14">
        <f>IF(OR(WEEKDAY($B22,2)&gt;5,COUNTIF(FESTIVOS!$A:$A,$B22)&gt;0),0,$H$3*24)</f>
        <v>0.49999999999999989</v>
      </c>
      <c r="I22" s="14">
        <f>IF(OR(WEEKDAY($B22,2)&gt;5,COUNTIF(FESTIVOS!$A:$A,$B22)&gt;0),0,$I$3*24)</f>
        <v>8</v>
      </c>
      <c r="J22" s="14">
        <f>IF(OR(WEEKDAY($B22,2)&gt;5,COUNTIF(FESTIVOS!$A:$A,$B22)&gt;0),"",G22-I22-H22)</f>
        <v>-8.5</v>
      </c>
      <c r="K22" s="14" t="str">
        <f>IF(OR(WEEKDAY($B22,2)&gt;5,COUNTIF(FESTIVOS!$A:$A,$B22)&gt;0),G22,"")</f>
        <v/>
      </c>
      <c r="L22" s="11"/>
    </row>
    <row r="23" spans="1:12" x14ac:dyDescent="0.3">
      <c r="A23" s="11" t="s">
        <v>17</v>
      </c>
      <c r="B23" s="12">
        <v>46099</v>
      </c>
      <c r="C23" s="13">
        <v>0</v>
      </c>
      <c r="D23" s="13">
        <v>0</v>
      </c>
      <c r="E23" s="13">
        <v>0</v>
      </c>
      <c r="F23" s="13">
        <v>0</v>
      </c>
      <c r="G23" s="14">
        <f t="shared" si="0"/>
        <v>0</v>
      </c>
      <c r="H23" s="14">
        <f>IF(OR(WEEKDAY($B23,2)&gt;5,COUNTIF(FESTIVOS!$A:$A,$B23)&gt;0),0,$H$3*24)</f>
        <v>0.49999999999999989</v>
      </c>
      <c r="I23" s="14">
        <f>IF(OR(WEEKDAY($B23,2)&gt;5,COUNTIF(FESTIVOS!$A:$A,$B23)&gt;0),0,$I$3*24)</f>
        <v>8</v>
      </c>
      <c r="J23" s="14">
        <f>IF(OR(WEEKDAY($B23,2)&gt;5,COUNTIF(FESTIVOS!$A:$A,$B23)&gt;0),"",G23-I23-H23)</f>
        <v>-8.5</v>
      </c>
      <c r="K23" s="14" t="str">
        <f>IF(OR(WEEKDAY($B23,2)&gt;5,COUNTIF(FESTIVOS!$A:$A,$B23)&gt;0),G23,"")</f>
        <v/>
      </c>
      <c r="L23" s="11"/>
    </row>
    <row r="24" spans="1:12" x14ac:dyDescent="0.3">
      <c r="A24" s="11" t="s">
        <v>18</v>
      </c>
      <c r="B24" s="12">
        <v>46100</v>
      </c>
      <c r="C24" s="13">
        <v>0</v>
      </c>
      <c r="D24" s="13">
        <v>0</v>
      </c>
      <c r="E24" s="13">
        <v>0</v>
      </c>
      <c r="F24" s="13">
        <v>0</v>
      </c>
      <c r="G24" s="14">
        <f t="shared" si="0"/>
        <v>0</v>
      </c>
      <c r="H24" s="14">
        <f>IF(OR(WEEKDAY($B24,2)&gt;5,COUNTIF(FESTIVOS!$A:$A,$B24)&gt;0),0,$H$3*24)</f>
        <v>0.49999999999999989</v>
      </c>
      <c r="I24" s="14">
        <f>IF(OR(WEEKDAY($B24,2)&gt;5,COUNTIF(FESTIVOS!$A:$A,$B24)&gt;0),0,$I$3*24)</f>
        <v>8</v>
      </c>
      <c r="J24" s="14">
        <f>IF(OR(WEEKDAY($B24,2)&gt;5,COUNTIF(FESTIVOS!$A:$A,$B24)&gt;0),"",G24-I24-H24)</f>
        <v>-8.5</v>
      </c>
      <c r="K24" s="14" t="str">
        <f>IF(OR(WEEKDAY($B24,2)&gt;5,COUNTIF(FESTIVOS!$A:$A,$B24)&gt;0),G24,"")</f>
        <v/>
      </c>
      <c r="L24" s="11"/>
    </row>
    <row r="25" spans="1:12" x14ac:dyDescent="0.3">
      <c r="A25" s="11" t="s">
        <v>19</v>
      </c>
      <c r="B25" s="12">
        <v>46101</v>
      </c>
      <c r="C25" s="13">
        <v>0</v>
      </c>
      <c r="D25" s="13">
        <v>0</v>
      </c>
      <c r="E25" s="13">
        <v>0</v>
      </c>
      <c r="F25" s="13">
        <v>0</v>
      </c>
      <c r="G25" s="14">
        <f t="shared" si="0"/>
        <v>0</v>
      </c>
      <c r="H25" s="14">
        <f>IF(OR(WEEKDAY($B25,2)&gt;5,COUNTIF(FESTIVOS!$A:$A,$B25)&gt;0),0,$H$3*24)</f>
        <v>0.49999999999999989</v>
      </c>
      <c r="I25" s="14">
        <f>IF(OR(WEEKDAY($B25,2)&gt;5,COUNTIF(FESTIVOS!$A:$A,$B25)&gt;0),0,$I$3*24)</f>
        <v>8</v>
      </c>
      <c r="J25" s="14">
        <f>IF(OR(WEEKDAY($B25,2)&gt;5,COUNTIF(FESTIVOS!$A:$A,$B25)&gt;0),"",G25-I25-H25)</f>
        <v>-8.5</v>
      </c>
      <c r="K25" s="14" t="str">
        <f>IF(OR(WEEKDAY($B25,2)&gt;5,COUNTIF(FESTIVOS!$A:$A,$B25)&gt;0),G25,"")</f>
        <v/>
      </c>
      <c r="L25" s="11"/>
    </row>
    <row r="26" spans="1:12" x14ac:dyDescent="0.3">
      <c r="A26" s="15" t="s">
        <v>20</v>
      </c>
      <c r="B26" s="16">
        <v>46102</v>
      </c>
      <c r="C26" s="17">
        <v>0</v>
      </c>
      <c r="D26" s="17">
        <v>0</v>
      </c>
      <c r="E26" s="17">
        <v>0</v>
      </c>
      <c r="F26" s="17">
        <v>0</v>
      </c>
      <c r="G26" s="18">
        <f t="shared" si="0"/>
        <v>0</v>
      </c>
      <c r="H26" s="18">
        <f>IF(OR(WEEKDAY($B26,2)&gt;5,COUNTIF(FESTIVOS!$A:$A,$B26)&gt;0),0,$H$3*24)</f>
        <v>0</v>
      </c>
      <c r="I26" s="18">
        <f>IF(OR(WEEKDAY($B26,2)&gt;5,COUNTIF(FESTIVOS!$A:$A,$B26)&gt;0),0,$I$3*24)</f>
        <v>0</v>
      </c>
      <c r="J26" s="18" t="str">
        <f>IF(OR(WEEKDAY($B26,2)&gt;5,COUNTIF(FESTIVOS!$A:$A,$B26)&gt;0),"",G26-I26-H26)</f>
        <v/>
      </c>
      <c r="K26" s="18">
        <f>IF(OR(WEEKDAY($B26,2)&gt;5,COUNTIF(FESTIVOS!$A:$A,$B26)&gt;0),G26,"")</f>
        <v>0</v>
      </c>
      <c r="L26" s="15"/>
    </row>
    <row r="27" spans="1:12" x14ac:dyDescent="0.3">
      <c r="A27" s="15" t="s">
        <v>21</v>
      </c>
      <c r="B27" s="16">
        <v>46103</v>
      </c>
      <c r="C27" s="17">
        <v>0</v>
      </c>
      <c r="D27" s="17">
        <v>0</v>
      </c>
      <c r="E27" s="17">
        <v>0</v>
      </c>
      <c r="F27" s="17">
        <v>0</v>
      </c>
      <c r="G27" s="18">
        <f t="shared" si="0"/>
        <v>0</v>
      </c>
      <c r="H27" s="18">
        <f>IF(OR(WEEKDAY($B27,2)&gt;5,COUNTIF(FESTIVOS!$A:$A,$B27)&gt;0),0,$H$3*24)</f>
        <v>0</v>
      </c>
      <c r="I27" s="18">
        <f>IF(OR(WEEKDAY($B27,2)&gt;5,COUNTIF(FESTIVOS!$A:$A,$B27)&gt;0),0,$I$3*24)</f>
        <v>0</v>
      </c>
      <c r="J27" s="18" t="str">
        <f>IF(OR(WEEKDAY($B27,2)&gt;5,COUNTIF(FESTIVOS!$A:$A,$B27)&gt;0),"",G27-I27-H27)</f>
        <v/>
      </c>
      <c r="K27" s="18">
        <f>IF(OR(WEEKDAY($B27,2)&gt;5,COUNTIF(FESTIVOS!$A:$A,$B27)&gt;0),G27,"")</f>
        <v>0</v>
      </c>
      <c r="L27" s="15"/>
    </row>
    <row r="28" spans="1:12" x14ac:dyDescent="0.3">
      <c r="A28" s="11" t="s">
        <v>15</v>
      </c>
      <c r="B28" s="12">
        <v>46104</v>
      </c>
      <c r="C28" s="13">
        <v>0</v>
      </c>
      <c r="D28" s="13">
        <v>0</v>
      </c>
      <c r="E28" s="13">
        <v>0</v>
      </c>
      <c r="F28" s="13">
        <v>0</v>
      </c>
      <c r="G28" s="14">
        <f t="shared" si="0"/>
        <v>0</v>
      </c>
      <c r="H28" s="14">
        <f>IF(OR(WEEKDAY($B28,2)&gt;5,COUNTIF(FESTIVOS!$A:$A,$B28)&gt;0),0,$H$3*24)</f>
        <v>0.49999999999999989</v>
      </c>
      <c r="I28" s="14">
        <f>IF(OR(WEEKDAY($B28,2)&gt;5,COUNTIF(FESTIVOS!$A:$A,$B28)&gt;0),0,$I$3*24)</f>
        <v>8</v>
      </c>
      <c r="J28" s="14">
        <f>IF(OR(WEEKDAY($B28,2)&gt;5,COUNTIF(FESTIVOS!$A:$A,$B28)&gt;0),"",G28-I28-H28)</f>
        <v>-8.5</v>
      </c>
      <c r="K28" s="14" t="str">
        <f>IF(OR(WEEKDAY($B28,2)&gt;5,COUNTIF(FESTIVOS!$A:$A,$B28)&gt;0),G28,"")</f>
        <v/>
      </c>
      <c r="L28" s="11"/>
    </row>
    <row r="29" spans="1:12" x14ac:dyDescent="0.3">
      <c r="A29" s="11" t="s">
        <v>16</v>
      </c>
      <c r="B29" s="12">
        <v>46105</v>
      </c>
      <c r="C29" s="13">
        <v>0</v>
      </c>
      <c r="D29" s="13">
        <v>0</v>
      </c>
      <c r="E29" s="13">
        <v>0</v>
      </c>
      <c r="F29" s="13">
        <v>0</v>
      </c>
      <c r="G29" s="14">
        <f t="shared" si="0"/>
        <v>0</v>
      </c>
      <c r="H29" s="14">
        <f>IF(OR(WEEKDAY($B29,2)&gt;5,COUNTIF(FESTIVOS!$A:$A,$B29)&gt;0),0,$H$3*24)</f>
        <v>0.49999999999999989</v>
      </c>
      <c r="I29" s="14">
        <f>IF(OR(WEEKDAY($B29,2)&gt;5,COUNTIF(FESTIVOS!$A:$A,$B29)&gt;0),0,$I$3*24)</f>
        <v>8</v>
      </c>
      <c r="J29" s="14">
        <f>IF(OR(WEEKDAY($B29,2)&gt;5,COUNTIF(FESTIVOS!$A:$A,$B29)&gt;0),"",G29-I29-H29)</f>
        <v>-8.5</v>
      </c>
      <c r="K29" s="14" t="str">
        <f>IF(OR(WEEKDAY($B29,2)&gt;5,COUNTIF(FESTIVOS!$A:$A,$B29)&gt;0),G29,"")</f>
        <v/>
      </c>
      <c r="L29" s="11"/>
    </row>
    <row r="30" spans="1:12" x14ac:dyDescent="0.3">
      <c r="A30" s="11" t="s">
        <v>17</v>
      </c>
      <c r="B30" s="12">
        <v>46106</v>
      </c>
      <c r="C30" s="13">
        <v>0</v>
      </c>
      <c r="D30" s="13">
        <v>0</v>
      </c>
      <c r="E30" s="13">
        <v>0</v>
      </c>
      <c r="F30" s="13">
        <v>0</v>
      </c>
      <c r="G30" s="14">
        <f t="shared" si="0"/>
        <v>0</v>
      </c>
      <c r="H30" s="14">
        <f>IF(OR(WEEKDAY($B30,2)&gt;5,COUNTIF(FESTIVOS!$A:$A,$B30)&gt;0),0,$H$3*24)</f>
        <v>0.49999999999999989</v>
      </c>
      <c r="I30" s="14">
        <f>IF(OR(WEEKDAY($B30,2)&gt;5,COUNTIF(FESTIVOS!$A:$A,$B30)&gt;0),0,$I$3*24)</f>
        <v>8</v>
      </c>
      <c r="J30" s="14">
        <f>IF(OR(WEEKDAY($B30,2)&gt;5,COUNTIF(FESTIVOS!$A:$A,$B30)&gt;0),"",G30-I30-H30)</f>
        <v>-8.5</v>
      </c>
      <c r="K30" s="14" t="str">
        <f>IF(OR(WEEKDAY($B30,2)&gt;5,COUNTIF(FESTIVOS!$A:$A,$B30)&gt;0),G30,"")</f>
        <v/>
      </c>
      <c r="L30" s="11"/>
    </row>
    <row r="31" spans="1:12" x14ac:dyDescent="0.3">
      <c r="A31" s="11" t="s">
        <v>18</v>
      </c>
      <c r="B31" s="12">
        <v>46107</v>
      </c>
      <c r="C31" s="13">
        <v>0</v>
      </c>
      <c r="D31" s="13">
        <v>0</v>
      </c>
      <c r="E31" s="13">
        <v>0</v>
      </c>
      <c r="F31" s="13">
        <v>0</v>
      </c>
      <c r="G31" s="14">
        <f t="shared" si="0"/>
        <v>0</v>
      </c>
      <c r="H31" s="14">
        <f>IF(OR(WEEKDAY($B31,2)&gt;5,COUNTIF(FESTIVOS!$A:$A,$B31)&gt;0),0,$H$3*24)</f>
        <v>0.49999999999999989</v>
      </c>
      <c r="I31" s="14">
        <f>IF(OR(WEEKDAY($B31,2)&gt;5,COUNTIF(FESTIVOS!$A:$A,$B31)&gt;0),0,$I$3*24)</f>
        <v>8</v>
      </c>
      <c r="J31" s="14">
        <f>IF(OR(WEEKDAY($B31,2)&gt;5,COUNTIF(FESTIVOS!$A:$A,$B31)&gt;0),"",G31-I31-H31)</f>
        <v>-8.5</v>
      </c>
      <c r="K31" s="14" t="str">
        <f>IF(OR(WEEKDAY($B31,2)&gt;5,COUNTIF(FESTIVOS!$A:$A,$B31)&gt;0),G31,"")</f>
        <v/>
      </c>
      <c r="L31" s="11"/>
    </row>
    <row r="32" spans="1:12" x14ac:dyDescent="0.3">
      <c r="A32" s="11" t="s">
        <v>19</v>
      </c>
      <c r="B32" s="12">
        <v>46108</v>
      </c>
      <c r="C32" s="13">
        <v>0</v>
      </c>
      <c r="D32" s="13">
        <v>0</v>
      </c>
      <c r="E32" s="13">
        <v>0</v>
      </c>
      <c r="F32" s="13">
        <v>0</v>
      </c>
      <c r="G32" s="14">
        <f t="shared" si="0"/>
        <v>0</v>
      </c>
      <c r="H32" s="14">
        <f>IF(OR(WEEKDAY($B32,2)&gt;5,COUNTIF(FESTIVOS!$A:$A,$B32)&gt;0),0,$H$3*24)</f>
        <v>0.49999999999999989</v>
      </c>
      <c r="I32" s="14">
        <f>IF(OR(WEEKDAY($B32,2)&gt;5,COUNTIF(FESTIVOS!$A:$A,$B32)&gt;0),0,$I$3*24)</f>
        <v>8</v>
      </c>
      <c r="J32" s="14">
        <f>IF(OR(WEEKDAY($B32,2)&gt;5,COUNTIF(FESTIVOS!$A:$A,$B32)&gt;0),"",G32-I32-H32)</f>
        <v>-8.5</v>
      </c>
      <c r="K32" s="14" t="str">
        <f>IF(OR(WEEKDAY($B32,2)&gt;5,COUNTIF(FESTIVOS!$A:$A,$B32)&gt;0),G32,"")</f>
        <v/>
      </c>
      <c r="L32" s="11"/>
    </row>
    <row r="33" spans="1:12" x14ac:dyDescent="0.3">
      <c r="A33" s="15" t="s">
        <v>20</v>
      </c>
      <c r="B33" s="16">
        <v>46109</v>
      </c>
      <c r="C33" s="17">
        <v>0</v>
      </c>
      <c r="D33" s="17">
        <v>0</v>
      </c>
      <c r="E33" s="17">
        <v>0</v>
      </c>
      <c r="F33" s="17">
        <v>0</v>
      </c>
      <c r="G33" s="18">
        <f t="shared" si="0"/>
        <v>0</v>
      </c>
      <c r="H33" s="18">
        <f>IF(OR(WEEKDAY($B33,2)&gt;5,COUNTIF(FESTIVOS!$A:$A,$B33)&gt;0),0,$H$3*24)</f>
        <v>0</v>
      </c>
      <c r="I33" s="18">
        <f>IF(OR(WEEKDAY($B33,2)&gt;5,COUNTIF(FESTIVOS!$A:$A,$B33)&gt;0),0,$I$3*24)</f>
        <v>0</v>
      </c>
      <c r="J33" s="18" t="str">
        <f>IF(OR(WEEKDAY($B33,2)&gt;5,COUNTIF(FESTIVOS!$A:$A,$B33)&gt;0),"",G33-I33-H33)</f>
        <v/>
      </c>
      <c r="K33" s="18">
        <f>IF(OR(WEEKDAY($B33,2)&gt;5,COUNTIF(FESTIVOS!$A:$A,$B33)&gt;0),G33,"")</f>
        <v>0</v>
      </c>
      <c r="L33" s="15"/>
    </row>
    <row r="34" spans="1:12" x14ac:dyDescent="0.3">
      <c r="A34" s="15" t="s">
        <v>21</v>
      </c>
      <c r="B34" s="16">
        <v>46110</v>
      </c>
      <c r="C34" s="17">
        <v>0</v>
      </c>
      <c r="D34" s="17">
        <v>0</v>
      </c>
      <c r="E34" s="17">
        <v>0</v>
      </c>
      <c r="F34" s="17">
        <v>0</v>
      </c>
      <c r="G34" s="18">
        <f t="shared" si="0"/>
        <v>0</v>
      </c>
      <c r="H34" s="18">
        <f>IF(OR(WEEKDAY($B34,2)&gt;5,COUNTIF(FESTIVOS!$A:$A,$B34)&gt;0),0,$H$3*24)</f>
        <v>0</v>
      </c>
      <c r="I34" s="18">
        <f>IF(OR(WEEKDAY($B34,2)&gt;5,COUNTIF(FESTIVOS!$A:$A,$B34)&gt;0),0,$I$3*24)</f>
        <v>0</v>
      </c>
      <c r="J34" s="18" t="str">
        <f>IF(OR(WEEKDAY($B34,2)&gt;5,COUNTIF(FESTIVOS!$A:$A,$B34)&gt;0),"",G34-I34-H34)</f>
        <v/>
      </c>
      <c r="K34" s="18">
        <f>IF(OR(WEEKDAY($B34,2)&gt;5,COUNTIF(FESTIVOS!$A:$A,$B34)&gt;0),G34,"")</f>
        <v>0</v>
      </c>
      <c r="L34" s="15"/>
    </row>
    <row r="35" spans="1:12" x14ac:dyDescent="0.3">
      <c r="A35" s="11" t="s">
        <v>15</v>
      </c>
      <c r="B35" s="12">
        <v>46111</v>
      </c>
      <c r="C35" s="13">
        <v>0</v>
      </c>
      <c r="D35" s="13">
        <v>0</v>
      </c>
      <c r="E35" s="13">
        <v>0</v>
      </c>
      <c r="F35" s="13">
        <v>0</v>
      </c>
      <c r="G35" s="14">
        <f t="shared" si="0"/>
        <v>0</v>
      </c>
      <c r="H35" s="14">
        <f>IF(OR(WEEKDAY($B35,2)&gt;5,COUNTIF(FESTIVOS!$A:$A,$B35)&gt;0),0,$H$3*24)</f>
        <v>0.49999999999999989</v>
      </c>
      <c r="I35" s="14">
        <f>IF(OR(WEEKDAY($B35,2)&gt;5,COUNTIF(FESTIVOS!$A:$A,$B35)&gt;0),0,$I$3*24)</f>
        <v>8</v>
      </c>
      <c r="J35" s="14">
        <f>IF(OR(WEEKDAY($B35,2)&gt;5,COUNTIF(FESTIVOS!$A:$A,$B35)&gt;0),"",G35-I35-H35)</f>
        <v>-8.5</v>
      </c>
      <c r="K35" s="14" t="str">
        <f>IF(OR(WEEKDAY($B35,2)&gt;5,COUNTIF(FESTIVOS!$A:$A,$B35)&gt;0),G35,"")</f>
        <v/>
      </c>
      <c r="L35" s="11"/>
    </row>
    <row r="36" spans="1:12" x14ac:dyDescent="0.3">
      <c r="A36" s="11" t="s">
        <v>16</v>
      </c>
      <c r="B36" s="12">
        <v>46112</v>
      </c>
      <c r="C36" s="13">
        <v>0</v>
      </c>
      <c r="D36" s="13">
        <v>0</v>
      </c>
      <c r="E36" s="13">
        <v>0</v>
      </c>
      <c r="F36" s="13">
        <v>0</v>
      </c>
      <c r="G36" s="14">
        <f t="shared" si="0"/>
        <v>0</v>
      </c>
      <c r="H36" s="14">
        <f>IF(OR(WEEKDAY($B36,2)&gt;5,COUNTIF(FESTIVOS!$A:$A,$B36)&gt;0),0,$H$3*24)</f>
        <v>0.49999999999999989</v>
      </c>
      <c r="I36" s="14">
        <f>IF(OR(WEEKDAY($B36,2)&gt;5,COUNTIF(FESTIVOS!$A:$A,$B36)&gt;0),0,$I$3*24)</f>
        <v>8</v>
      </c>
      <c r="J36" s="14">
        <f>IF(OR(WEEKDAY($B36,2)&gt;5,COUNTIF(FESTIVOS!$A:$A,$B36)&gt;0),"",G36-I36-H36)</f>
        <v>-8.5</v>
      </c>
      <c r="K36" s="14" t="str">
        <f>IF(OR(WEEKDAY($B36,2)&gt;5,COUNTIF(FESTIVOS!$A:$A,$B36)&gt;0),G36,"")</f>
        <v/>
      </c>
      <c r="L36" s="11"/>
    </row>
  </sheetData>
  <mergeCells count="1">
    <mergeCell ref="C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5"/>
  <sheetViews>
    <sheetView workbookViewId="0">
      <selection activeCell="E10" sqref="E10"/>
    </sheetView>
  </sheetViews>
  <sheetFormatPr baseColWidth="10" defaultColWidth="9.140625" defaultRowHeight="16.5" x14ac:dyDescent="0.3"/>
  <cols>
    <col min="1" max="1" width="4.7109375" style="2" bestFit="1" customWidth="1"/>
    <col min="2" max="2" width="13.85546875" style="2" bestFit="1" customWidth="1"/>
    <col min="3" max="3" width="11.85546875" style="2" bestFit="1" customWidth="1"/>
    <col min="4" max="4" width="9.7109375" style="2" bestFit="1" customWidth="1"/>
    <col min="5" max="5" width="11.85546875" style="2" bestFit="1" customWidth="1"/>
    <col min="6" max="7" width="9.7109375" style="2" bestFit="1" customWidth="1"/>
    <col min="8" max="8" width="14.7109375" style="2" bestFit="1" customWidth="1"/>
    <col min="9" max="9" width="8" style="2" customWidth="1"/>
    <col min="10" max="10" width="9.28515625" style="2" bestFit="1" customWidth="1"/>
    <col min="11" max="11" width="17.5703125" style="2" bestFit="1" customWidth="1"/>
    <col min="12" max="12" width="20.140625" style="2" bestFit="1" customWidth="1"/>
    <col min="13" max="13" width="9.140625" style="2"/>
    <col min="14" max="14" width="11.5703125" style="2" bestFit="1" customWidth="1"/>
    <col min="15" max="15" width="22.85546875" style="2" bestFit="1" customWidth="1"/>
    <col min="16" max="16" width="11.5703125" style="2" bestFit="1" customWidth="1"/>
    <col min="17" max="16384" width="9.140625" style="2"/>
  </cols>
  <sheetData>
    <row r="1" spans="1:16" ht="18" x14ac:dyDescent="0.35">
      <c r="N1" s="3">
        <v>9</v>
      </c>
      <c r="O1" s="3">
        <v>10</v>
      </c>
    </row>
    <row r="2" spans="1:16" ht="18" x14ac:dyDescent="0.35">
      <c r="C2" s="4" t="s">
        <v>0</v>
      </c>
      <c r="D2" s="5"/>
      <c r="F2" s="6" t="s">
        <v>1</v>
      </c>
      <c r="N2" s="6" t="s">
        <v>2</v>
      </c>
      <c r="O2" s="6" t="s">
        <v>3</v>
      </c>
    </row>
    <row r="3" spans="1:16" ht="18" x14ac:dyDescent="0.35">
      <c r="F3" s="6" t="s">
        <v>25</v>
      </c>
      <c r="H3" s="7">
        <v>2.0833333333333329E-2</v>
      </c>
      <c r="I3" s="7">
        <v>0.33333333333333331</v>
      </c>
      <c r="N3" s="8" t="e">
        <f>SUMPRODUCT((J6:J35&gt;0)*(J6:J35))</f>
        <v>#VALUE!</v>
      </c>
      <c r="O3" s="8">
        <f>SUM(K6:K35)</f>
        <v>0</v>
      </c>
    </row>
    <row r="4" spans="1:16" ht="18" x14ac:dyDescent="0.35">
      <c r="P4" s="6" t="s">
        <v>5</v>
      </c>
    </row>
    <row r="5" spans="1:16" ht="18" x14ac:dyDescent="0.35">
      <c r="A5" s="9" t="s">
        <v>6</v>
      </c>
      <c r="B5" s="9" t="s">
        <v>7</v>
      </c>
      <c r="C5" s="9" t="s">
        <v>8</v>
      </c>
      <c r="D5" s="9" t="s">
        <v>9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2</v>
      </c>
      <c r="K5" s="9" t="s">
        <v>13</v>
      </c>
      <c r="L5" s="9" t="s">
        <v>14</v>
      </c>
      <c r="N5" s="10" t="e">
        <f>N3*N1</f>
        <v>#VALUE!</v>
      </c>
      <c r="O5" s="10">
        <f>O3*O1</f>
        <v>0</v>
      </c>
      <c r="P5" s="10" t="e">
        <f>N5+O5</f>
        <v>#VALUE!</v>
      </c>
    </row>
    <row r="6" spans="1:16" x14ac:dyDescent="0.3">
      <c r="A6" s="11" t="s">
        <v>17</v>
      </c>
      <c r="B6" s="12">
        <v>46113</v>
      </c>
      <c r="C6" s="13">
        <v>0</v>
      </c>
      <c r="D6" s="13">
        <v>0</v>
      </c>
      <c r="E6" s="13">
        <v>0</v>
      </c>
      <c r="F6" s="13">
        <v>0</v>
      </c>
      <c r="G6" s="14">
        <f t="shared" ref="G6:G35" si="0">IF(AND(C6="",D6="",E6="",F6=""),0,(F6-E6+D6-C6)*24)</f>
        <v>0</v>
      </c>
      <c r="H6" s="14">
        <f>IF(OR(WEEKDAY($B6,2)&gt;5,COUNTIF(FESTIVOS!$A:$A,$B6)&gt;0),0,$H$3*24)</f>
        <v>0.49999999999999989</v>
      </c>
      <c r="I6" s="14">
        <f>IF(OR(WEEKDAY($B6,2)&gt;5,COUNTIF(FESTIVOS!$A:$A,$B6)&gt;0),0,$I$3*24)</f>
        <v>8</v>
      </c>
      <c r="J6" s="14">
        <f>IF(OR(WEEKDAY($B6,2)&gt;5,COUNTIF(FESTIVOS!$A:$A,$B6)&gt;0),"",G6-I6-H6)</f>
        <v>-8.5</v>
      </c>
      <c r="K6" s="14" t="str">
        <f>IF(OR(WEEKDAY($B6,2)&gt;5,COUNTIF(FESTIVOS!$A:$A,$B6)&gt;0),G6,"")</f>
        <v/>
      </c>
      <c r="L6" s="11"/>
    </row>
    <row r="7" spans="1:16" x14ac:dyDescent="0.3">
      <c r="A7" s="15" t="s">
        <v>18</v>
      </c>
      <c r="B7" s="16">
        <v>46114</v>
      </c>
      <c r="C7" s="17">
        <v>0</v>
      </c>
      <c r="D7" s="17">
        <v>0</v>
      </c>
      <c r="E7" s="17">
        <v>0</v>
      </c>
      <c r="F7" s="17">
        <v>0</v>
      </c>
      <c r="G7" s="18">
        <f t="shared" si="0"/>
        <v>0</v>
      </c>
      <c r="H7" s="18">
        <f>IF(OR(WEEKDAY($B7,2)&gt;5,COUNTIF(FESTIVOS!$A:$A,$B7)&gt;0),0,$H$3*24)</f>
        <v>0</v>
      </c>
      <c r="I7" s="18">
        <f>IF(OR(WEEKDAY($B7,2)&gt;5,COUNTIF(FESTIVOS!$A:$A,$B7)&gt;0),0,$I$3*24)</f>
        <v>0</v>
      </c>
      <c r="J7" s="18" t="str">
        <f>IF(OR(WEEKDAY($B7,2)&gt;5,COUNTIF(FESTIVOS!$A:$A,$B7)&gt;0),"",G7-I7-H7)</f>
        <v/>
      </c>
      <c r="K7" s="18">
        <f>IF(OR(WEEKDAY($B7,2)&gt;5,COUNTIF(FESTIVOS!$A:$A,$B7)&gt;0),G7,"")</f>
        <v>0</v>
      </c>
      <c r="L7" s="15"/>
    </row>
    <row r="8" spans="1:16" x14ac:dyDescent="0.3">
      <c r="A8" s="15" t="s">
        <v>19</v>
      </c>
      <c r="B8" s="16">
        <v>46115</v>
      </c>
      <c r="C8" s="17">
        <v>0</v>
      </c>
      <c r="D8" s="17">
        <v>0</v>
      </c>
      <c r="E8" s="17">
        <v>0</v>
      </c>
      <c r="F8" s="17">
        <v>0</v>
      </c>
      <c r="G8" s="18">
        <f t="shared" si="0"/>
        <v>0</v>
      </c>
      <c r="H8" s="18">
        <f>IF(OR(WEEKDAY($B8,2)&gt;5,COUNTIF(FESTIVOS!$A:$A,$B8)&gt;0),0,$H$3*24)</f>
        <v>0</v>
      </c>
      <c r="I8" s="18">
        <f>IF(OR(WEEKDAY($B8,2)&gt;5,COUNTIF(FESTIVOS!$A:$A,$B8)&gt;0),0,$I$3*24)</f>
        <v>0</v>
      </c>
      <c r="J8" s="18" t="str">
        <f>IF(OR(WEEKDAY($B8,2)&gt;5,COUNTIF(FESTIVOS!$A:$A,$B8)&gt;0),"",G8-I8-H8)</f>
        <v/>
      </c>
      <c r="K8" s="18">
        <f>IF(OR(WEEKDAY($B8,2)&gt;5,COUNTIF(FESTIVOS!$A:$A,$B8)&gt;0),G8,"")</f>
        <v>0</v>
      </c>
      <c r="L8" s="15"/>
    </row>
    <row r="9" spans="1:16" x14ac:dyDescent="0.3">
      <c r="A9" s="15" t="s">
        <v>20</v>
      </c>
      <c r="B9" s="16">
        <v>46116</v>
      </c>
      <c r="C9" s="17">
        <v>0</v>
      </c>
      <c r="D9" s="17">
        <v>0</v>
      </c>
      <c r="E9" s="17">
        <v>0</v>
      </c>
      <c r="F9" s="17">
        <v>0</v>
      </c>
      <c r="G9" s="18">
        <f t="shared" si="0"/>
        <v>0</v>
      </c>
      <c r="H9" s="18">
        <f>IF(OR(WEEKDAY($B9,2)&gt;5,COUNTIF(FESTIVOS!$A:$A,$B9)&gt;0),0,$H$3*24)</f>
        <v>0</v>
      </c>
      <c r="I9" s="18">
        <f>IF(OR(WEEKDAY($B9,2)&gt;5,COUNTIF(FESTIVOS!$A:$A,$B9)&gt;0),0,$I$3*24)</f>
        <v>0</v>
      </c>
      <c r="J9" s="18" t="str">
        <f>IF(OR(WEEKDAY($B9,2)&gt;5,COUNTIF(FESTIVOS!$A:$A,$B9)&gt;0),"",G9-I9-H9)</f>
        <v/>
      </c>
      <c r="K9" s="18">
        <f>IF(OR(WEEKDAY($B9,2)&gt;5,COUNTIF(FESTIVOS!$A:$A,$B9)&gt;0),G9,"")</f>
        <v>0</v>
      </c>
      <c r="L9" s="15"/>
    </row>
    <row r="10" spans="1:16" x14ac:dyDescent="0.3">
      <c r="A10" s="15" t="s">
        <v>21</v>
      </c>
      <c r="B10" s="16">
        <v>46117</v>
      </c>
      <c r="C10" s="17">
        <v>0</v>
      </c>
      <c r="D10" s="17">
        <v>0</v>
      </c>
      <c r="E10" s="17">
        <v>0</v>
      </c>
      <c r="F10" s="17">
        <v>0</v>
      </c>
      <c r="G10" s="18">
        <f t="shared" si="0"/>
        <v>0</v>
      </c>
      <c r="H10" s="18">
        <f>IF(OR(WEEKDAY($B10,2)&gt;5,COUNTIF(FESTIVOS!$A:$A,$B10)&gt;0),0,$H$3*24)</f>
        <v>0</v>
      </c>
      <c r="I10" s="18">
        <f>IF(OR(WEEKDAY($B10,2)&gt;5,COUNTIF(FESTIVOS!$A:$A,$B10)&gt;0),0,$I$3*24)</f>
        <v>0</v>
      </c>
      <c r="J10" s="18" t="str">
        <f>IF(OR(WEEKDAY($B10,2)&gt;5,COUNTIF(FESTIVOS!$A:$A,$B10)&gt;0),"",G10-I10-H10)</f>
        <v/>
      </c>
      <c r="K10" s="18">
        <f>IF(OR(WEEKDAY($B10,2)&gt;5,COUNTIF(FESTIVOS!$A:$A,$B10)&gt;0),G10,"")</f>
        <v>0</v>
      </c>
      <c r="L10" s="15"/>
    </row>
    <row r="11" spans="1:16" x14ac:dyDescent="0.3">
      <c r="A11" s="15" t="s">
        <v>15</v>
      </c>
      <c r="B11" s="16">
        <v>46118</v>
      </c>
      <c r="C11" s="17">
        <v>0</v>
      </c>
      <c r="D11" s="17">
        <v>0</v>
      </c>
      <c r="E11" s="17">
        <v>0</v>
      </c>
      <c r="F11" s="17">
        <v>0</v>
      </c>
      <c r="G11" s="18">
        <f t="shared" si="0"/>
        <v>0</v>
      </c>
      <c r="H11" s="18">
        <f>IF(OR(WEEKDAY($B11,2)&gt;5,COUNTIF(FESTIVOS!$A:$A,$B11)&gt;0),0,$H$3*24)</f>
        <v>0</v>
      </c>
      <c r="I11" s="18">
        <f>IF(OR(WEEKDAY($B11,2)&gt;5,COUNTIF(FESTIVOS!$A:$A,$B11)&gt;0),0,$I$3*24)</f>
        <v>0</v>
      </c>
      <c r="J11" s="18" t="str">
        <f>IF(OR(WEEKDAY($B11,2)&gt;5,COUNTIF(FESTIVOS!$A:$A,$B11)&gt;0),"",G11-I11-H11)</f>
        <v/>
      </c>
      <c r="K11" s="18">
        <f>IF(OR(WEEKDAY($B11,2)&gt;5,COUNTIF(FESTIVOS!$A:$A,$B11)&gt;0),G11,"")</f>
        <v>0</v>
      </c>
      <c r="L11" s="15"/>
    </row>
    <row r="12" spans="1:16" x14ac:dyDescent="0.3">
      <c r="A12" s="11" t="s">
        <v>16</v>
      </c>
      <c r="B12" s="12">
        <v>46119</v>
      </c>
      <c r="C12" s="13">
        <v>0</v>
      </c>
      <c r="D12" s="13">
        <v>0</v>
      </c>
      <c r="E12" s="13">
        <v>0</v>
      </c>
      <c r="F12" s="13">
        <v>0</v>
      </c>
      <c r="G12" s="14">
        <f t="shared" si="0"/>
        <v>0</v>
      </c>
      <c r="H12" s="14">
        <f>IF(OR(WEEKDAY($B12,2)&gt;5,COUNTIF(FESTIVOS!$A:$A,$B12)&gt;0),0,$H$3*24)</f>
        <v>0.49999999999999989</v>
      </c>
      <c r="I12" s="14">
        <f>IF(OR(WEEKDAY($B12,2)&gt;5,COUNTIF(FESTIVOS!$A:$A,$B12)&gt;0),0,$I$3*24)</f>
        <v>8</v>
      </c>
      <c r="J12" s="14">
        <f>IF(OR(WEEKDAY($B12,2)&gt;5,COUNTIF(FESTIVOS!$A:$A,$B12)&gt;0),"",G12-I12-H12)</f>
        <v>-8.5</v>
      </c>
      <c r="K12" s="14" t="str">
        <f>IF(OR(WEEKDAY($B12,2)&gt;5,COUNTIF(FESTIVOS!$A:$A,$B12)&gt;0),G12,"")</f>
        <v/>
      </c>
      <c r="L12" s="11"/>
    </row>
    <row r="13" spans="1:16" x14ac:dyDescent="0.3">
      <c r="A13" s="11" t="s">
        <v>17</v>
      </c>
      <c r="B13" s="12">
        <v>46120</v>
      </c>
      <c r="C13" s="13">
        <v>0</v>
      </c>
      <c r="D13" s="13">
        <v>0</v>
      </c>
      <c r="E13" s="13">
        <v>0</v>
      </c>
      <c r="F13" s="13">
        <v>0</v>
      </c>
      <c r="G13" s="14">
        <f t="shared" si="0"/>
        <v>0</v>
      </c>
      <c r="H13" s="14">
        <f>IF(OR(WEEKDAY($B13,2)&gt;5,COUNTIF(FESTIVOS!$A:$A,$B13)&gt;0),0,$H$3*24)</f>
        <v>0.49999999999999989</v>
      </c>
      <c r="I13" s="14">
        <f>IF(OR(WEEKDAY($B13,2)&gt;5,COUNTIF(FESTIVOS!$A:$A,$B13)&gt;0),0,$I$3*24)</f>
        <v>8</v>
      </c>
      <c r="J13" s="14">
        <f>IF(OR(WEEKDAY($B13,2)&gt;5,COUNTIF(FESTIVOS!$A:$A,$B13)&gt;0),"",G13-I13-H13)</f>
        <v>-8.5</v>
      </c>
      <c r="K13" s="14" t="str">
        <f>IF(OR(WEEKDAY($B13,2)&gt;5,COUNTIF(FESTIVOS!$A:$A,$B13)&gt;0),G13,"")</f>
        <v/>
      </c>
      <c r="L13" s="11"/>
    </row>
    <row r="14" spans="1:16" x14ac:dyDescent="0.3">
      <c r="A14" s="11" t="s">
        <v>18</v>
      </c>
      <c r="B14" s="12">
        <v>46121</v>
      </c>
      <c r="C14" s="13">
        <v>0</v>
      </c>
      <c r="D14" s="13">
        <v>0</v>
      </c>
      <c r="E14" s="13">
        <v>0</v>
      </c>
      <c r="F14" s="13">
        <v>0</v>
      </c>
      <c r="G14" s="14">
        <f t="shared" si="0"/>
        <v>0</v>
      </c>
      <c r="H14" s="14">
        <f>IF(OR(WEEKDAY($B14,2)&gt;5,COUNTIF(FESTIVOS!$A:$A,$B14)&gt;0),0,$H$3*24)</f>
        <v>0.49999999999999989</v>
      </c>
      <c r="I14" s="14">
        <f>IF(OR(WEEKDAY($B14,2)&gt;5,COUNTIF(FESTIVOS!$A:$A,$B14)&gt;0),0,$I$3*24)</f>
        <v>8</v>
      </c>
      <c r="J14" s="14">
        <f>IF(OR(WEEKDAY($B14,2)&gt;5,COUNTIF(FESTIVOS!$A:$A,$B14)&gt;0),"",G14-I14-H14)</f>
        <v>-8.5</v>
      </c>
      <c r="K14" s="14" t="str">
        <f>IF(OR(WEEKDAY($B14,2)&gt;5,COUNTIF(FESTIVOS!$A:$A,$B14)&gt;0),G14,"")</f>
        <v/>
      </c>
      <c r="L14" s="11"/>
    </row>
    <row r="15" spans="1:16" x14ac:dyDescent="0.3">
      <c r="A15" s="11" t="s">
        <v>19</v>
      </c>
      <c r="B15" s="12">
        <v>46122</v>
      </c>
      <c r="C15" s="13">
        <v>0</v>
      </c>
      <c r="D15" s="13">
        <v>0</v>
      </c>
      <c r="E15" s="13">
        <v>0</v>
      </c>
      <c r="F15" s="13">
        <v>0</v>
      </c>
      <c r="G15" s="14">
        <f t="shared" si="0"/>
        <v>0</v>
      </c>
      <c r="H15" s="14">
        <f>IF(OR(WEEKDAY($B15,2)&gt;5,COUNTIF(FESTIVOS!$A:$A,$B15)&gt;0),0,$H$3*24)</f>
        <v>0.49999999999999989</v>
      </c>
      <c r="I15" s="14">
        <f>IF(OR(WEEKDAY($B15,2)&gt;5,COUNTIF(FESTIVOS!$A:$A,$B15)&gt;0),0,$I$3*24)</f>
        <v>8</v>
      </c>
      <c r="J15" s="14">
        <f>IF(OR(WEEKDAY($B15,2)&gt;5,COUNTIF(FESTIVOS!$A:$A,$B15)&gt;0),"",G15-I15-H15)</f>
        <v>-8.5</v>
      </c>
      <c r="K15" s="14" t="str">
        <f>IF(OR(WEEKDAY($B15,2)&gt;5,COUNTIF(FESTIVOS!$A:$A,$B15)&gt;0),G15,"")</f>
        <v/>
      </c>
      <c r="L15" s="11"/>
    </row>
    <row r="16" spans="1:16" x14ac:dyDescent="0.3">
      <c r="A16" s="15" t="s">
        <v>20</v>
      </c>
      <c r="B16" s="16">
        <v>46123</v>
      </c>
      <c r="C16" s="17">
        <v>0</v>
      </c>
      <c r="D16" s="17">
        <v>0</v>
      </c>
      <c r="E16" s="17">
        <v>0</v>
      </c>
      <c r="F16" s="17">
        <v>0</v>
      </c>
      <c r="G16" s="18">
        <f t="shared" si="0"/>
        <v>0</v>
      </c>
      <c r="H16" s="18">
        <f>IF(OR(WEEKDAY($B16,2)&gt;5,COUNTIF(FESTIVOS!$A:$A,$B16)&gt;0),0,$H$3*24)</f>
        <v>0</v>
      </c>
      <c r="I16" s="18">
        <f>IF(OR(WEEKDAY($B16,2)&gt;5,COUNTIF(FESTIVOS!$A:$A,$B16)&gt;0),0,$I$3*24)</f>
        <v>0</v>
      </c>
      <c r="J16" s="18" t="str">
        <f>IF(OR(WEEKDAY($B16,2)&gt;5,COUNTIF(FESTIVOS!$A:$A,$B16)&gt;0),"",G16-I16-H16)</f>
        <v/>
      </c>
      <c r="K16" s="18">
        <f>IF(OR(WEEKDAY($B16,2)&gt;5,COUNTIF(FESTIVOS!$A:$A,$B16)&gt;0),G16,"")</f>
        <v>0</v>
      </c>
      <c r="L16" s="15"/>
    </row>
    <row r="17" spans="1:12" x14ac:dyDescent="0.3">
      <c r="A17" s="15" t="s">
        <v>21</v>
      </c>
      <c r="B17" s="16">
        <v>46124</v>
      </c>
      <c r="C17" s="17">
        <v>0</v>
      </c>
      <c r="D17" s="17">
        <v>0</v>
      </c>
      <c r="E17" s="17">
        <v>0</v>
      </c>
      <c r="F17" s="17">
        <v>0</v>
      </c>
      <c r="G17" s="18">
        <f t="shared" si="0"/>
        <v>0</v>
      </c>
      <c r="H17" s="18">
        <f>IF(OR(WEEKDAY($B17,2)&gt;5,COUNTIF(FESTIVOS!$A:$A,$B17)&gt;0),0,$H$3*24)</f>
        <v>0</v>
      </c>
      <c r="I17" s="18">
        <f>IF(OR(WEEKDAY($B17,2)&gt;5,COUNTIF(FESTIVOS!$A:$A,$B17)&gt;0),0,$I$3*24)</f>
        <v>0</v>
      </c>
      <c r="J17" s="18" t="str">
        <f>IF(OR(WEEKDAY($B17,2)&gt;5,COUNTIF(FESTIVOS!$A:$A,$B17)&gt;0),"",G17-I17-H17)</f>
        <v/>
      </c>
      <c r="K17" s="18">
        <f>IF(OR(WEEKDAY($B17,2)&gt;5,COUNTIF(FESTIVOS!$A:$A,$B17)&gt;0),G17,"")</f>
        <v>0</v>
      </c>
      <c r="L17" s="15"/>
    </row>
    <row r="18" spans="1:12" x14ac:dyDescent="0.3">
      <c r="A18" s="11" t="s">
        <v>15</v>
      </c>
      <c r="B18" s="12">
        <v>46125</v>
      </c>
      <c r="C18" s="13">
        <v>0</v>
      </c>
      <c r="D18" s="13">
        <v>0</v>
      </c>
      <c r="E18" s="13">
        <v>0</v>
      </c>
      <c r="F18" s="13">
        <v>0</v>
      </c>
      <c r="G18" s="14">
        <f t="shared" si="0"/>
        <v>0</v>
      </c>
      <c r="H18" s="14">
        <f>IF(OR(WEEKDAY($B18,2)&gt;5,COUNTIF(FESTIVOS!$A:$A,$B18)&gt;0),0,$H$3*24)</f>
        <v>0.49999999999999989</v>
      </c>
      <c r="I18" s="14">
        <f>IF(OR(WEEKDAY($B18,2)&gt;5,COUNTIF(FESTIVOS!$A:$A,$B18)&gt;0),0,$I$3*24)</f>
        <v>8</v>
      </c>
      <c r="J18" s="14">
        <f>IF(OR(WEEKDAY($B18,2)&gt;5,COUNTIF(FESTIVOS!$A:$A,$B18)&gt;0),"",G18-I18-H18)</f>
        <v>-8.5</v>
      </c>
      <c r="K18" s="14" t="str">
        <f>IF(OR(WEEKDAY($B18,2)&gt;5,COUNTIF(FESTIVOS!$A:$A,$B18)&gt;0),G18,"")</f>
        <v/>
      </c>
      <c r="L18" s="11"/>
    </row>
    <row r="19" spans="1:12" x14ac:dyDescent="0.3">
      <c r="A19" s="11" t="s">
        <v>16</v>
      </c>
      <c r="B19" s="12">
        <v>46126</v>
      </c>
      <c r="C19" s="13">
        <v>0</v>
      </c>
      <c r="D19" s="13">
        <v>0</v>
      </c>
      <c r="E19" s="13">
        <v>0</v>
      </c>
      <c r="F19" s="13">
        <v>0</v>
      </c>
      <c r="G19" s="14">
        <f t="shared" si="0"/>
        <v>0</v>
      </c>
      <c r="H19" s="14">
        <f>IF(OR(WEEKDAY($B19,2)&gt;5,COUNTIF(FESTIVOS!$A:$A,$B19)&gt;0),0,$H$3*24)</f>
        <v>0.49999999999999989</v>
      </c>
      <c r="I19" s="14">
        <f>IF(OR(WEEKDAY($B19,2)&gt;5,COUNTIF(FESTIVOS!$A:$A,$B19)&gt;0),0,$I$3*24)</f>
        <v>8</v>
      </c>
      <c r="J19" s="14">
        <f>IF(OR(WEEKDAY($B19,2)&gt;5,COUNTIF(FESTIVOS!$A:$A,$B19)&gt;0),"",G19-I19-H19)</f>
        <v>-8.5</v>
      </c>
      <c r="K19" s="14" t="str">
        <f>IF(OR(WEEKDAY($B19,2)&gt;5,COUNTIF(FESTIVOS!$A:$A,$B19)&gt;0),G19,"")</f>
        <v/>
      </c>
      <c r="L19" s="11"/>
    </row>
    <row r="20" spans="1:12" x14ac:dyDescent="0.3">
      <c r="A20" s="11" t="s">
        <v>17</v>
      </c>
      <c r="B20" s="12">
        <v>46127</v>
      </c>
      <c r="C20" s="13">
        <v>0</v>
      </c>
      <c r="D20" s="13">
        <v>0</v>
      </c>
      <c r="E20" s="13">
        <v>0</v>
      </c>
      <c r="F20" s="13">
        <v>0</v>
      </c>
      <c r="G20" s="14">
        <f t="shared" si="0"/>
        <v>0</v>
      </c>
      <c r="H20" s="14">
        <f>IF(OR(WEEKDAY($B20,2)&gt;5,COUNTIF(FESTIVOS!$A:$A,$B20)&gt;0),0,$H$3*24)</f>
        <v>0.49999999999999989</v>
      </c>
      <c r="I20" s="14">
        <f>IF(OR(WEEKDAY($B20,2)&gt;5,COUNTIF(FESTIVOS!$A:$A,$B20)&gt;0),0,$I$3*24)</f>
        <v>8</v>
      </c>
      <c r="J20" s="14">
        <f>IF(OR(WEEKDAY($B20,2)&gt;5,COUNTIF(FESTIVOS!$A:$A,$B20)&gt;0),"",G20-I20-H20)</f>
        <v>-8.5</v>
      </c>
      <c r="K20" s="14" t="str">
        <f>IF(OR(WEEKDAY($B20,2)&gt;5,COUNTIF(FESTIVOS!$A:$A,$B20)&gt;0),G20,"")</f>
        <v/>
      </c>
      <c r="L20" s="11"/>
    </row>
    <row r="21" spans="1:12" x14ac:dyDescent="0.3">
      <c r="A21" s="11" t="s">
        <v>18</v>
      </c>
      <c r="B21" s="12">
        <v>46128</v>
      </c>
      <c r="C21" s="13">
        <v>0</v>
      </c>
      <c r="D21" s="13">
        <v>0</v>
      </c>
      <c r="E21" s="13">
        <v>0</v>
      </c>
      <c r="F21" s="13">
        <v>0</v>
      </c>
      <c r="G21" s="14">
        <f t="shared" si="0"/>
        <v>0</v>
      </c>
      <c r="H21" s="14">
        <f>IF(OR(WEEKDAY($B21,2)&gt;5,COUNTIF(FESTIVOS!$A:$A,$B21)&gt;0),0,$H$3*24)</f>
        <v>0.49999999999999989</v>
      </c>
      <c r="I21" s="14">
        <f>IF(OR(WEEKDAY($B21,2)&gt;5,COUNTIF(FESTIVOS!$A:$A,$B21)&gt;0),0,$I$3*24)</f>
        <v>8</v>
      </c>
      <c r="J21" s="14">
        <f>IF(OR(WEEKDAY($B21,2)&gt;5,COUNTIF(FESTIVOS!$A:$A,$B21)&gt;0),"",G21-I21-H21)</f>
        <v>-8.5</v>
      </c>
      <c r="K21" s="14" t="str">
        <f>IF(OR(WEEKDAY($B21,2)&gt;5,COUNTIF(FESTIVOS!$A:$A,$B21)&gt;0),G21,"")</f>
        <v/>
      </c>
      <c r="L21" s="11"/>
    </row>
    <row r="22" spans="1:12" x14ac:dyDescent="0.3">
      <c r="A22" s="11" t="s">
        <v>19</v>
      </c>
      <c r="B22" s="12">
        <v>46129</v>
      </c>
      <c r="C22" s="13">
        <v>0</v>
      </c>
      <c r="D22" s="13">
        <v>0</v>
      </c>
      <c r="E22" s="13">
        <v>0</v>
      </c>
      <c r="F22" s="13">
        <v>0</v>
      </c>
      <c r="G22" s="14">
        <f t="shared" si="0"/>
        <v>0</v>
      </c>
      <c r="H22" s="14">
        <f>IF(OR(WEEKDAY($B22,2)&gt;5,COUNTIF(FESTIVOS!$A:$A,$B22)&gt;0),0,$H$3*24)</f>
        <v>0.49999999999999989</v>
      </c>
      <c r="I22" s="14">
        <f>IF(OR(WEEKDAY($B22,2)&gt;5,COUNTIF(FESTIVOS!$A:$A,$B22)&gt;0),0,$I$3*24)</f>
        <v>8</v>
      </c>
      <c r="J22" s="14">
        <f>IF(OR(WEEKDAY($B22,2)&gt;5,COUNTIF(FESTIVOS!$A:$A,$B22)&gt;0),"",G22-I22-H22)</f>
        <v>-8.5</v>
      </c>
      <c r="K22" s="14" t="str">
        <f>IF(OR(WEEKDAY($B22,2)&gt;5,COUNTIF(FESTIVOS!$A:$A,$B22)&gt;0),G22,"")</f>
        <v/>
      </c>
      <c r="L22" s="11"/>
    </row>
    <row r="23" spans="1:12" x14ac:dyDescent="0.3">
      <c r="A23" s="15" t="s">
        <v>20</v>
      </c>
      <c r="B23" s="16">
        <v>46130</v>
      </c>
      <c r="C23" s="17">
        <v>0</v>
      </c>
      <c r="D23" s="17">
        <v>0</v>
      </c>
      <c r="E23" s="17">
        <v>0</v>
      </c>
      <c r="F23" s="17">
        <v>0</v>
      </c>
      <c r="G23" s="18">
        <f t="shared" si="0"/>
        <v>0</v>
      </c>
      <c r="H23" s="18">
        <f>IF(OR(WEEKDAY($B23,2)&gt;5,COUNTIF(FESTIVOS!$A:$A,$B23)&gt;0),0,$H$3*24)</f>
        <v>0</v>
      </c>
      <c r="I23" s="18">
        <f>IF(OR(WEEKDAY($B23,2)&gt;5,COUNTIF(FESTIVOS!$A:$A,$B23)&gt;0),0,$I$3*24)</f>
        <v>0</v>
      </c>
      <c r="J23" s="18" t="str">
        <f>IF(OR(WEEKDAY($B23,2)&gt;5,COUNTIF(FESTIVOS!$A:$A,$B23)&gt;0),"",G23-I23-H23)</f>
        <v/>
      </c>
      <c r="K23" s="18">
        <f>IF(OR(WEEKDAY($B23,2)&gt;5,COUNTIF(FESTIVOS!$A:$A,$B23)&gt;0),G23,"")</f>
        <v>0</v>
      </c>
      <c r="L23" s="15"/>
    </row>
    <row r="24" spans="1:12" x14ac:dyDescent="0.3">
      <c r="A24" s="15" t="s">
        <v>21</v>
      </c>
      <c r="B24" s="16">
        <v>46131</v>
      </c>
      <c r="C24" s="17">
        <v>0</v>
      </c>
      <c r="D24" s="17">
        <v>0</v>
      </c>
      <c r="E24" s="17">
        <v>0</v>
      </c>
      <c r="F24" s="17">
        <v>0</v>
      </c>
      <c r="G24" s="18">
        <f t="shared" si="0"/>
        <v>0</v>
      </c>
      <c r="H24" s="18">
        <f>IF(OR(WEEKDAY($B24,2)&gt;5,COUNTIF(FESTIVOS!$A:$A,$B24)&gt;0),0,$H$3*24)</f>
        <v>0</v>
      </c>
      <c r="I24" s="18">
        <f>IF(OR(WEEKDAY($B24,2)&gt;5,COUNTIF(FESTIVOS!$A:$A,$B24)&gt;0),0,$I$3*24)</f>
        <v>0</v>
      </c>
      <c r="J24" s="18" t="str">
        <f>IF(OR(WEEKDAY($B24,2)&gt;5,COUNTIF(FESTIVOS!$A:$A,$B24)&gt;0),"",G24-I24-H24)</f>
        <v/>
      </c>
      <c r="K24" s="18">
        <f>IF(OR(WEEKDAY($B24,2)&gt;5,COUNTIF(FESTIVOS!$A:$A,$B24)&gt;0),G24,"")</f>
        <v>0</v>
      </c>
      <c r="L24" s="15"/>
    </row>
    <row r="25" spans="1:12" x14ac:dyDescent="0.3">
      <c r="A25" s="11" t="s">
        <v>15</v>
      </c>
      <c r="B25" s="12">
        <v>46132</v>
      </c>
      <c r="C25" s="13">
        <v>0</v>
      </c>
      <c r="D25" s="13">
        <v>0</v>
      </c>
      <c r="E25" s="13">
        <v>0</v>
      </c>
      <c r="F25" s="13">
        <v>0</v>
      </c>
      <c r="G25" s="14">
        <f t="shared" si="0"/>
        <v>0</v>
      </c>
      <c r="H25" s="14">
        <f>IF(OR(WEEKDAY($B25,2)&gt;5,COUNTIF(FESTIVOS!$A:$A,$B25)&gt;0),0,$H$3*24)</f>
        <v>0.49999999999999989</v>
      </c>
      <c r="I25" s="14">
        <f>IF(OR(WEEKDAY($B25,2)&gt;5,COUNTIF(FESTIVOS!$A:$A,$B25)&gt;0),0,$I$3*24)</f>
        <v>8</v>
      </c>
      <c r="J25" s="14">
        <f>IF(OR(WEEKDAY($B25,2)&gt;5,COUNTIF(FESTIVOS!$A:$A,$B25)&gt;0),"",G25-I25-H25)</f>
        <v>-8.5</v>
      </c>
      <c r="K25" s="14" t="str">
        <f>IF(OR(WEEKDAY($B25,2)&gt;5,COUNTIF(FESTIVOS!$A:$A,$B25)&gt;0),G25,"")</f>
        <v/>
      </c>
      <c r="L25" s="11"/>
    </row>
    <row r="26" spans="1:12" x14ac:dyDescent="0.3">
      <c r="A26" s="11" t="s">
        <v>16</v>
      </c>
      <c r="B26" s="12">
        <v>46133</v>
      </c>
      <c r="C26" s="13">
        <v>0</v>
      </c>
      <c r="D26" s="13">
        <v>0</v>
      </c>
      <c r="E26" s="13">
        <v>0</v>
      </c>
      <c r="F26" s="13">
        <v>0</v>
      </c>
      <c r="G26" s="14">
        <f t="shared" si="0"/>
        <v>0</v>
      </c>
      <c r="H26" s="14">
        <f>IF(OR(WEEKDAY($B26,2)&gt;5,COUNTIF(FESTIVOS!$A:$A,$B26)&gt;0),0,$H$3*24)</f>
        <v>0.49999999999999989</v>
      </c>
      <c r="I26" s="14">
        <f>IF(OR(WEEKDAY($B26,2)&gt;5,COUNTIF(FESTIVOS!$A:$A,$B26)&gt;0),0,$I$3*24)</f>
        <v>8</v>
      </c>
      <c r="J26" s="14">
        <f>IF(OR(WEEKDAY($B26,2)&gt;5,COUNTIF(FESTIVOS!$A:$A,$B26)&gt;0),"",G26-I26-H26)</f>
        <v>-8.5</v>
      </c>
      <c r="K26" s="14" t="str">
        <f>IF(OR(WEEKDAY($B26,2)&gt;5,COUNTIF(FESTIVOS!$A:$A,$B26)&gt;0),G26,"")</f>
        <v/>
      </c>
      <c r="L26" s="11"/>
    </row>
    <row r="27" spans="1:12" x14ac:dyDescent="0.3">
      <c r="A27" s="11" t="s">
        <v>17</v>
      </c>
      <c r="B27" s="12">
        <v>46134</v>
      </c>
      <c r="C27" s="13">
        <v>0</v>
      </c>
      <c r="D27" s="13">
        <v>0</v>
      </c>
      <c r="E27" s="13">
        <v>0</v>
      </c>
      <c r="F27" s="13">
        <v>0</v>
      </c>
      <c r="G27" s="14">
        <f t="shared" si="0"/>
        <v>0</v>
      </c>
      <c r="H27" s="14">
        <f>IF(OR(WEEKDAY($B27,2)&gt;5,COUNTIF(FESTIVOS!$A:$A,$B27)&gt;0),0,$H$3*24)</f>
        <v>0.49999999999999989</v>
      </c>
      <c r="I27" s="14">
        <f>IF(OR(WEEKDAY($B27,2)&gt;5,COUNTIF(FESTIVOS!$A:$A,$B27)&gt;0),0,$I$3*24)</f>
        <v>8</v>
      </c>
      <c r="J27" s="14">
        <f>IF(OR(WEEKDAY($B27,2)&gt;5,COUNTIF(FESTIVOS!$A:$A,$B27)&gt;0),"",G27-I27-H27)</f>
        <v>-8.5</v>
      </c>
      <c r="K27" s="14" t="str">
        <f>IF(OR(WEEKDAY($B27,2)&gt;5,COUNTIF(FESTIVOS!$A:$A,$B27)&gt;0),G27,"")</f>
        <v/>
      </c>
      <c r="L27" s="11"/>
    </row>
    <row r="28" spans="1:12" x14ac:dyDescent="0.3">
      <c r="A28" s="11" t="s">
        <v>18</v>
      </c>
      <c r="B28" s="12">
        <v>46135</v>
      </c>
      <c r="C28" s="13">
        <v>0</v>
      </c>
      <c r="D28" s="13">
        <v>0</v>
      </c>
      <c r="E28" s="13">
        <v>0</v>
      </c>
      <c r="F28" s="13">
        <v>0</v>
      </c>
      <c r="G28" s="14">
        <f t="shared" si="0"/>
        <v>0</v>
      </c>
      <c r="H28" s="14">
        <f>IF(OR(WEEKDAY($B28,2)&gt;5,COUNTIF(FESTIVOS!$A:$A,$B28)&gt;0),0,$H$3*24)</f>
        <v>0.49999999999999989</v>
      </c>
      <c r="I28" s="14">
        <f>IF(OR(WEEKDAY($B28,2)&gt;5,COUNTIF(FESTIVOS!$A:$A,$B28)&gt;0),0,$I$3*24)</f>
        <v>8</v>
      </c>
      <c r="J28" s="14">
        <f>IF(OR(WEEKDAY($B28,2)&gt;5,COUNTIF(FESTIVOS!$A:$A,$B28)&gt;0),"",G28-I28-H28)</f>
        <v>-8.5</v>
      </c>
      <c r="K28" s="14" t="str">
        <f>IF(OR(WEEKDAY($B28,2)&gt;5,COUNTIF(FESTIVOS!$A:$A,$B28)&gt;0),G28,"")</f>
        <v/>
      </c>
      <c r="L28" s="11"/>
    </row>
    <row r="29" spans="1:12" x14ac:dyDescent="0.3">
      <c r="A29" s="11" t="s">
        <v>19</v>
      </c>
      <c r="B29" s="12">
        <v>46136</v>
      </c>
      <c r="C29" s="13">
        <v>0</v>
      </c>
      <c r="D29" s="13">
        <v>0</v>
      </c>
      <c r="E29" s="13">
        <v>0</v>
      </c>
      <c r="F29" s="13">
        <v>0</v>
      </c>
      <c r="G29" s="14">
        <f t="shared" si="0"/>
        <v>0</v>
      </c>
      <c r="H29" s="14">
        <f>IF(OR(WEEKDAY($B29,2)&gt;5,COUNTIF(FESTIVOS!$A:$A,$B29)&gt;0),0,$H$3*24)</f>
        <v>0.49999999999999989</v>
      </c>
      <c r="I29" s="14">
        <f>IF(OR(WEEKDAY($B29,2)&gt;5,COUNTIF(FESTIVOS!$A:$A,$B29)&gt;0),0,$I$3*24)</f>
        <v>8</v>
      </c>
      <c r="J29" s="14">
        <f>IF(OR(WEEKDAY($B29,2)&gt;5,COUNTIF(FESTIVOS!$A:$A,$B29)&gt;0),"",G29-I29-H29)</f>
        <v>-8.5</v>
      </c>
      <c r="K29" s="14" t="str">
        <f>IF(OR(WEEKDAY($B29,2)&gt;5,COUNTIF(FESTIVOS!$A:$A,$B29)&gt;0),G29,"")</f>
        <v/>
      </c>
      <c r="L29" s="11"/>
    </row>
    <row r="30" spans="1:12" x14ac:dyDescent="0.3">
      <c r="A30" s="15" t="s">
        <v>20</v>
      </c>
      <c r="B30" s="16">
        <v>46137</v>
      </c>
      <c r="C30" s="17">
        <v>0</v>
      </c>
      <c r="D30" s="17">
        <v>0</v>
      </c>
      <c r="E30" s="17">
        <v>0</v>
      </c>
      <c r="F30" s="17">
        <v>0</v>
      </c>
      <c r="G30" s="18">
        <f t="shared" si="0"/>
        <v>0</v>
      </c>
      <c r="H30" s="18">
        <f>IF(OR(WEEKDAY($B30,2)&gt;5,COUNTIF(FESTIVOS!$A:$A,$B30)&gt;0),0,$H$3*24)</f>
        <v>0</v>
      </c>
      <c r="I30" s="18">
        <f>IF(OR(WEEKDAY($B30,2)&gt;5,COUNTIF(FESTIVOS!$A:$A,$B30)&gt;0),0,$I$3*24)</f>
        <v>0</v>
      </c>
      <c r="J30" s="18" t="str">
        <f>IF(OR(WEEKDAY($B30,2)&gt;5,COUNTIF(FESTIVOS!$A:$A,$B30)&gt;0),"",G30-I30-H30)</f>
        <v/>
      </c>
      <c r="K30" s="18">
        <f>IF(OR(WEEKDAY($B30,2)&gt;5,COUNTIF(FESTIVOS!$A:$A,$B30)&gt;0),G30,"")</f>
        <v>0</v>
      </c>
      <c r="L30" s="15"/>
    </row>
    <row r="31" spans="1:12" x14ac:dyDescent="0.3">
      <c r="A31" s="15" t="s">
        <v>21</v>
      </c>
      <c r="B31" s="16">
        <v>46138</v>
      </c>
      <c r="C31" s="17">
        <v>0</v>
      </c>
      <c r="D31" s="17">
        <v>0</v>
      </c>
      <c r="E31" s="17">
        <v>0</v>
      </c>
      <c r="F31" s="17">
        <v>0</v>
      </c>
      <c r="G31" s="18">
        <f t="shared" si="0"/>
        <v>0</v>
      </c>
      <c r="H31" s="18">
        <f>IF(OR(WEEKDAY($B31,2)&gt;5,COUNTIF(FESTIVOS!$A:$A,$B31)&gt;0),0,$H$3*24)</f>
        <v>0</v>
      </c>
      <c r="I31" s="18">
        <f>IF(OR(WEEKDAY($B31,2)&gt;5,COUNTIF(FESTIVOS!$A:$A,$B31)&gt;0),0,$I$3*24)</f>
        <v>0</v>
      </c>
      <c r="J31" s="18" t="str">
        <f>IF(OR(WEEKDAY($B31,2)&gt;5,COUNTIF(FESTIVOS!$A:$A,$B31)&gt;0),"",G31-I31-H31)</f>
        <v/>
      </c>
      <c r="K31" s="18">
        <f>IF(OR(WEEKDAY($B31,2)&gt;5,COUNTIF(FESTIVOS!$A:$A,$B31)&gt;0),G31,"")</f>
        <v>0</v>
      </c>
      <c r="L31" s="15"/>
    </row>
    <row r="32" spans="1:12" x14ac:dyDescent="0.3">
      <c r="A32" s="11" t="s">
        <v>15</v>
      </c>
      <c r="B32" s="12">
        <v>46139</v>
      </c>
      <c r="C32" s="13">
        <v>0</v>
      </c>
      <c r="D32" s="13">
        <v>0</v>
      </c>
      <c r="E32" s="13">
        <v>0</v>
      </c>
      <c r="F32" s="13">
        <v>0</v>
      </c>
      <c r="G32" s="14">
        <f t="shared" si="0"/>
        <v>0</v>
      </c>
      <c r="H32" s="14">
        <f>IF(OR(WEEKDAY($B32,2)&gt;5,COUNTIF(FESTIVOS!$A:$A,$B32)&gt;0),0,$H$3*24)</f>
        <v>0.49999999999999989</v>
      </c>
      <c r="I32" s="14">
        <f>IF(OR(WEEKDAY($B32,2)&gt;5,COUNTIF(FESTIVOS!$A:$A,$B32)&gt;0),0,$I$3*24)</f>
        <v>8</v>
      </c>
      <c r="J32" s="14">
        <f>IF(OR(WEEKDAY($B32,2)&gt;5,COUNTIF(FESTIVOS!$A:$A,$B32)&gt;0),"",G32-I32-H32)</f>
        <v>-8.5</v>
      </c>
      <c r="K32" s="14" t="str">
        <f>IF(OR(WEEKDAY($B32,2)&gt;5,COUNTIF(FESTIVOS!$A:$A,$B32)&gt;0),G32,"")</f>
        <v/>
      </c>
      <c r="L32" s="11"/>
    </row>
    <row r="33" spans="1:12" x14ac:dyDescent="0.3">
      <c r="A33" s="11" t="s">
        <v>16</v>
      </c>
      <c r="B33" s="12">
        <v>46140</v>
      </c>
      <c r="C33" s="13">
        <v>0</v>
      </c>
      <c r="D33" s="13">
        <v>0</v>
      </c>
      <c r="E33" s="13">
        <v>0</v>
      </c>
      <c r="F33" s="13">
        <v>0</v>
      </c>
      <c r="G33" s="14">
        <f t="shared" si="0"/>
        <v>0</v>
      </c>
      <c r="H33" s="14">
        <f>IF(OR(WEEKDAY($B33,2)&gt;5,COUNTIF(FESTIVOS!$A:$A,$B33)&gt;0),0,$H$3*24)</f>
        <v>0.49999999999999989</v>
      </c>
      <c r="I33" s="14">
        <f>IF(OR(WEEKDAY($B33,2)&gt;5,COUNTIF(FESTIVOS!$A:$A,$B33)&gt;0),0,$I$3*24)</f>
        <v>8</v>
      </c>
      <c r="J33" s="14">
        <f>IF(OR(WEEKDAY($B33,2)&gt;5,COUNTIF(FESTIVOS!$A:$A,$B33)&gt;0),"",G33-I33-H33)</f>
        <v>-8.5</v>
      </c>
      <c r="K33" s="14" t="str">
        <f>IF(OR(WEEKDAY($B33,2)&gt;5,COUNTIF(FESTIVOS!$A:$A,$B33)&gt;0),G33,"")</f>
        <v/>
      </c>
      <c r="L33" s="11"/>
    </row>
    <row r="34" spans="1:12" x14ac:dyDescent="0.3">
      <c r="A34" s="11" t="s">
        <v>17</v>
      </c>
      <c r="B34" s="12">
        <v>46141</v>
      </c>
      <c r="C34" s="13">
        <v>0</v>
      </c>
      <c r="D34" s="13">
        <v>0</v>
      </c>
      <c r="E34" s="13">
        <v>0</v>
      </c>
      <c r="F34" s="13">
        <v>0</v>
      </c>
      <c r="G34" s="14">
        <f t="shared" si="0"/>
        <v>0</v>
      </c>
      <c r="H34" s="14">
        <f>IF(OR(WEEKDAY($B34,2)&gt;5,COUNTIF(FESTIVOS!$A:$A,$B34)&gt;0),0,$H$3*24)</f>
        <v>0.49999999999999989</v>
      </c>
      <c r="I34" s="14">
        <f>IF(OR(WEEKDAY($B34,2)&gt;5,COUNTIF(FESTIVOS!$A:$A,$B34)&gt;0),0,$I$3*24)</f>
        <v>8</v>
      </c>
      <c r="J34" s="14">
        <f>IF(OR(WEEKDAY($B34,2)&gt;5,COUNTIF(FESTIVOS!$A:$A,$B34)&gt;0),"",G34-I34-H34)</f>
        <v>-8.5</v>
      </c>
      <c r="K34" s="14" t="str">
        <f>IF(OR(WEEKDAY($B34,2)&gt;5,COUNTIF(FESTIVOS!$A:$A,$B34)&gt;0),G34,"")</f>
        <v/>
      </c>
      <c r="L34" s="11"/>
    </row>
    <row r="35" spans="1:12" x14ac:dyDescent="0.3">
      <c r="A35" s="11" t="s">
        <v>18</v>
      </c>
      <c r="B35" s="12">
        <v>46142</v>
      </c>
      <c r="C35" s="13">
        <v>0</v>
      </c>
      <c r="D35" s="13">
        <v>0</v>
      </c>
      <c r="E35" s="13">
        <v>0</v>
      </c>
      <c r="F35" s="13">
        <v>0</v>
      </c>
      <c r="G35" s="14">
        <f t="shared" si="0"/>
        <v>0</v>
      </c>
      <c r="H35" s="14">
        <f>IF(OR(WEEKDAY($B35,2)&gt;5,COUNTIF(FESTIVOS!$A:$A,$B35)&gt;0),0,$H$3*24)</f>
        <v>0.49999999999999989</v>
      </c>
      <c r="I35" s="14">
        <f>IF(OR(WEEKDAY($B35,2)&gt;5,COUNTIF(FESTIVOS!$A:$A,$B35)&gt;0),0,$I$3*24)</f>
        <v>8</v>
      </c>
      <c r="J35" s="14">
        <f>IF(OR(WEEKDAY($B35,2)&gt;5,COUNTIF(FESTIVOS!$A:$A,$B35)&gt;0),"",G35-I35-H35)</f>
        <v>-8.5</v>
      </c>
      <c r="K35" s="14" t="str">
        <f>IF(OR(WEEKDAY($B35,2)&gt;5,COUNTIF(FESTIVOS!$A:$A,$B35)&gt;0),G35,"")</f>
        <v/>
      </c>
      <c r="L35" s="11"/>
    </row>
  </sheetData>
  <mergeCells count="1">
    <mergeCell ref="C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6"/>
  <sheetViews>
    <sheetView workbookViewId="0">
      <selection activeCell="F30" sqref="F30"/>
    </sheetView>
  </sheetViews>
  <sheetFormatPr baseColWidth="10" defaultColWidth="9.140625" defaultRowHeight="16.5" x14ac:dyDescent="0.3"/>
  <cols>
    <col min="1" max="1" width="4.7109375" style="2" bestFit="1" customWidth="1"/>
    <col min="2" max="2" width="13.85546875" style="2" bestFit="1" customWidth="1"/>
    <col min="3" max="3" width="11.85546875" style="2" bestFit="1" customWidth="1"/>
    <col min="4" max="4" width="9.7109375" style="2" bestFit="1" customWidth="1"/>
    <col min="5" max="5" width="11.85546875" style="2" bestFit="1" customWidth="1"/>
    <col min="6" max="7" width="9.7109375" style="2" bestFit="1" customWidth="1"/>
    <col min="8" max="8" width="14.7109375" style="2" bestFit="1" customWidth="1"/>
    <col min="9" max="9" width="8" style="2" customWidth="1"/>
    <col min="10" max="10" width="9.28515625" style="2" bestFit="1" customWidth="1"/>
    <col min="11" max="11" width="17.5703125" style="2" bestFit="1" customWidth="1"/>
    <col min="12" max="12" width="20.140625" style="2" bestFit="1" customWidth="1"/>
    <col min="13" max="13" width="9.140625" style="2"/>
    <col min="14" max="14" width="11.5703125" style="2" bestFit="1" customWidth="1"/>
    <col min="15" max="15" width="22.85546875" style="2" bestFit="1" customWidth="1"/>
    <col min="16" max="16" width="11.5703125" style="2" bestFit="1" customWidth="1"/>
    <col min="17" max="16384" width="9.140625" style="2"/>
  </cols>
  <sheetData>
    <row r="1" spans="1:16" ht="18" x14ac:dyDescent="0.35">
      <c r="N1" s="3">
        <v>9</v>
      </c>
      <c r="O1" s="3">
        <v>10</v>
      </c>
    </row>
    <row r="2" spans="1:16" ht="18" x14ac:dyDescent="0.35">
      <c r="C2" s="4" t="s">
        <v>0</v>
      </c>
      <c r="D2" s="5"/>
      <c r="F2" s="6" t="s">
        <v>1</v>
      </c>
      <c r="N2" s="6" t="s">
        <v>2</v>
      </c>
      <c r="O2" s="6" t="s">
        <v>3</v>
      </c>
    </row>
    <row r="3" spans="1:16" ht="18" x14ac:dyDescent="0.35">
      <c r="F3" s="6" t="s">
        <v>26</v>
      </c>
      <c r="H3" s="7">
        <v>2.0833333333333329E-2</v>
      </c>
      <c r="I3" s="7">
        <v>0.33333333333333331</v>
      </c>
      <c r="N3" s="8" t="e">
        <f>SUMPRODUCT((J6:J36&gt;0)*(J6:J36))</f>
        <v>#VALUE!</v>
      </c>
      <c r="O3" s="8">
        <f>SUM(K6:K36)</f>
        <v>0</v>
      </c>
    </row>
    <row r="4" spans="1:16" ht="18" x14ac:dyDescent="0.35">
      <c r="P4" s="6" t="s">
        <v>5</v>
      </c>
    </row>
    <row r="5" spans="1:16" ht="18" x14ac:dyDescent="0.35">
      <c r="A5" s="9" t="s">
        <v>6</v>
      </c>
      <c r="B5" s="9" t="s">
        <v>7</v>
      </c>
      <c r="C5" s="9" t="s">
        <v>8</v>
      </c>
      <c r="D5" s="9" t="s">
        <v>9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2</v>
      </c>
      <c r="K5" s="9" t="s">
        <v>13</v>
      </c>
      <c r="L5" s="9" t="s">
        <v>14</v>
      </c>
      <c r="N5" s="10" t="e">
        <f>N3*N1</f>
        <v>#VALUE!</v>
      </c>
      <c r="O5" s="10">
        <f>O3*O1</f>
        <v>0</v>
      </c>
      <c r="P5" s="10" t="e">
        <f>N5+O5</f>
        <v>#VALUE!</v>
      </c>
    </row>
    <row r="6" spans="1:16" x14ac:dyDescent="0.3">
      <c r="A6" s="15" t="s">
        <v>19</v>
      </c>
      <c r="B6" s="16">
        <v>46143</v>
      </c>
      <c r="C6" s="17">
        <v>0</v>
      </c>
      <c r="D6" s="17">
        <v>0</v>
      </c>
      <c r="E6" s="17">
        <v>0</v>
      </c>
      <c r="F6" s="17">
        <v>0</v>
      </c>
      <c r="G6" s="18">
        <f t="shared" ref="G6:G36" si="0">IF(AND(C6="",D6="",E6="",F6=""),0,(F6-E6+D6-C6)*24)</f>
        <v>0</v>
      </c>
      <c r="H6" s="18">
        <f>IF(OR(WEEKDAY($B6,2)&gt;5,COUNTIF(FESTIVOS!$A:$A,$B6)&gt;0),0,$H$3*24)</f>
        <v>0</v>
      </c>
      <c r="I6" s="18">
        <f>IF(OR(WEEKDAY($B6,2)&gt;5,COUNTIF(FESTIVOS!$A:$A,$B6)&gt;0),0,$I$3*24)</f>
        <v>0</v>
      </c>
      <c r="J6" s="18" t="str">
        <f>IF(OR(WEEKDAY($B6,2)&gt;5,COUNTIF(FESTIVOS!$A:$A,$B6)&gt;0),"",G6-I6-H6)</f>
        <v/>
      </c>
      <c r="K6" s="18">
        <f>IF(OR(WEEKDAY($B6,2)&gt;5,COUNTIF(FESTIVOS!$A:$A,$B6)&gt;0),G6,"")</f>
        <v>0</v>
      </c>
      <c r="L6" s="15"/>
    </row>
    <row r="7" spans="1:16" x14ac:dyDescent="0.3">
      <c r="A7" s="15" t="s">
        <v>20</v>
      </c>
      <c r="B7" s="16">
        <v>46144</v>
      </c>
      <c r="C7" s="17">
        <v>0</v>
      </c>
      <c r="D7" s="17">
        <v>0</v>
      </c>
      <c r="E7" s="17">
        <v>0</v>
      </c>
      <c r="F7" s="17">
        <v>0</v>
      </c>
      <c r="G7" s="18">
        <f t="shared" si="0"/>
        <v>0</v>
      </c>
      <c r="H7" s="18">
        <f>IF(OR(WEEKDAY($B7,2)&gt;5,COUNTIF(FESTIVOS!$A:$A,$B7)&gt;0),0,$H$3*24)</f>
        <v>0</v>
      </c>
      <c r="I7" s="18">
        <f>IF(OR(WEEKDAY($B7,2)&gt;5,COUNTIF(FESTIVOS!$A:$A,$B7)&gt;0),0,$I$3*24)</f>
        <v>0</v>
      </c>
      <c r="J7" s="18" t="str">
        <f>IF(OR(WEEKDAY($B7,2)&gt;5,COUNTIF(FESTIVOS!$A:$A,$B7)&gt;0),"",G7-I7-H7)</f>
        <v/>
      </c>
      <c r="K7" s="18">
        <f>IF(OR(WEEKDAY($B7,2)&gt;5,COUNTIF(FESTIVOS!$A:$A,$B7)&gt;0),G7,"")</f>
        <v>0</v>
      </c>
      <c r="L7" s="15"/>
    </row>
    <row r="8" spans="1:16" x14ac:dyDescent="0.3">
      <c r="A8" s="15" t="s">
        <v>21</v>
      </c>
      <c r="B8" s="16">
        <v>46145</v>
      </c>
      <c r="C8" s="17">
        <v>0</v>
      </c>
      <c r="D8" s="17">
        <v>0</v>
      </c>
      <c r="E8" s="17">
        <v>0</v>
      </c>
      <c r="F8" s="17">
        <v>0</v>
      </c>
      <c r="G8" s="18">
        <f t="shared" si="0"/>
        <v>0</v>
      </c>
      <c r="H8" s="18">
        <f>IF(OR(WEEKDAY($B8,2)&gt;5,COUNTIF(FESTIVOS!$A:$A,$B8)&gt;0),0,$H$3*24)</f>
        <v>0</v>
      </c>
      <c r="I8" s="18">
        <f>IF(OR(WEEKDAY($B8,2)&gt;5,COUNTIF(FESTIVOS!$A:$A,$B8)&gt;0),0,$I$3*24)</f>
        <v>0</v>
      </c>
      <c r="J8" s="18" t="str">
        <f>IF(OR(WEEKDAY($B8,2)&gt;5,COUNTIF(FESTIVOS!$A:$A,$B8)&gt;0),"",G8-I8-H8)</f>
        <v/>
      </c>
      <c r="K8" s="18">
        <f>IF(OR(WEEKDAY($B8,2)&gt;5,COUNTIF(FESTIVOS!$A:$A,$B8)&gt;0),G8,"")</f>
        <v>0</v>
      </c>
      <c r="L8" s="15"/>
    </row>
    <row r="9" spans="1:16" x14ac:dyDescent="0.3">
      <c r="A9" s="11" t="s">
        <v>15</v>
      </c>
      <c r="B9" s="12">
        <v>46146</v>
      </c>
      <c r="C9" s="13">
        <v>0</v>
      </c>
      <c r="D9" s="13">
        <v>0</v>
      </c>
      <c r="E9" s="13">
        <v>0</v>
      </c>
      <c r="F9" s="13">
        <v>0</v>
      </c>
      <c r="G9" s="14">
        <f t="shared" si="0"/>
        <v>0</v>
      </c>
      <c r="H9" s="14">
        <f>IF(OR(WEEKDAY($B9,2)&gt;5,COUNTIF(FESTIVOS!$A:$A,$B9)&gt;0),0,$H$3*24)</f>
        <v>0.49999999999999989</v>
      </c>
      <c r="I9" s="14">
        <f>IF(OR(WEEKDAY($B9,2)&gt;5,COUNTIF(FESTIVOS!$A:$A,$B9)&gt;0),0,$I$3*24)</f>
        <v>8</v>
      </c>
      <c r="J9" s="14">
        <f>IF(OR(WEEKDAY($B9,2)&gt;5,COUNTIF(FESTIVOS!$A:$A,$B9)&gt;0),"",G9-I9-H9)</f>
        <v>-8.5</v>
      </c>
      <c r="K9" s="14" t="str">
        <f>IF(OR(WEEKDAY($B9,2)&gt;5,COUNTIF(FESTIVOS!$A:$A,$B9)&gt;0),G9,"")</f>
        <v/>
      </c>
      <c r="L9" s="11"/>
    </row>
    <row r="10" spans="1:16" x14ac:dyDescent="0.3">
      <c r="A10" s="11" t="s">
        <v>16</v>
      </c>
      <c r="B10" s="12">
        <v>46147</v>
      </c>
      <c r="C10" s="13">
        <v>0</v>
      </c>
      <c r="D10" s="13">
        <v>0</v>
      </c>
      <c r="E10" s="13">
        <v>0</v>
      </c>
      <c r="F10" s="13">
        <v>0</v>
      </c>
      <c r="G10" s="14">
        <f t="shared" si="0"/>
        <v>0</v>
      </c>
      <c r="H10" s="14">
        <f>IF(OR(WEEKDAY($B10,2)&gt;5,COUNTIF(FESTIVOS!$A:$A,$B10)&gt;0),0,$H$3*24)</f>
        <v>0.49999999999999989</v>
      </c>
      <c r="I10" s="14">
        <f>IF(OR(WEEKDAY($B10,2)&gt;5,COUNTIF(FESTIVOS!$A:$A,$B10)&gt;0),0,$I$3*24)</f>
        <v>8</v>
      </c>
      <c r="J10" s="14">
        <f>IF(OR(WEEKDAY($B10,2)&gt;5,COUNTIF(FESTIVOS!$A:$A,$B10)&gt;0),"",G10-I10-H10)</f>
        <v>-8.5</v>
      </c>
      <c r="K10" s="14" t="str">
        <f>IF(OR(WEEKDAY($B10,2)&gt;5,COUNTIF(FESTIVOS!$A:$A,$B10)&gt;0),G10,"")</f>
        <v/>
      </c>
      <c r="L10" s="11"/>
    </row>
    <row r="11" spans="1:16" x14ac:dyDescent="0.3">
      <c r="A11" s="11" t="s">
        <v>17</v>
      </c>
      <c r="B11" s="12">
        <v>46148</v>
      </c>
      <c r="C11" s="13">
        <v>0</v>
      </c>
      <c r="D11" s="13">
        <v>0</v>
      </c>
      <c r="E11" s="13">
        <v>0</v>
      </c>
      <c r="F11" s="13">
        <v>0</v>
      </c>
      <c r="G11" s="14">
        <f t="shared" si="0"/>
        <v>0</v>
      </c>
      <c r="H11" s="14">
        <f>IF(OR(WEEKDAY($B11,2)&gt;5,COUNTIF(FESTIVOS!$A:$A,$B11)&gt;0),0,$H$3*24)</f>
        <v>0.49999999999999989</v>
      </c>
      <c r="I11" s="14">
        <f>IF(OR(WEEKDAY($B11,2)&gt;5,COUNTIF(FESTIVOS!$A:$A,$B11)&gt;0),0,$I$3*24)</f>
        <v>8</v>
      </c>
      <c r="J11" s="14">
        <f>IF(OR(WEEKDAY($B11,2)&gt;5,COUNTIF(FESTIVOS!$A:$A,$B11)&gt;0),"",G11-I11-H11)</f>
        <v>-8.5</v>
      </c>
      <c r="K11" s="14" t="str">
        <f>IF(OR(WEEKDAY($B11,2)&gt;5,COUNTIF(FESTIVOS!$A:$A,$B11)&gt;0),G11,"")</f>
        <v/>
      </c>
      <c r="L11" s="11"/>
    </row>
    <row r="12" spans="1:16" x14ac:dyDescent="0.3">
      <c r="A12" s="11" t="s">
        <v>18</v>
      </c>
      <c r="B12" s="12">
        <v>46149</v>
      </c>
      <c r="C12" s="13">
        <v>0</v>
      </c>
      <c r="D12" s="13">
        <v>0</v>
      </c>
      <c r="E12" s="13">
        <v>0</v>
      </c>
      <c r="F12" s="13">
        <v>0</v>
      </c>
      <c r="G12" s="14">
        <f t="shared" si="0"/>
        <v>0</v>
      </c>
      <c r="H12" s="14">
        <f>IF(OR(WEEKDAY($B12,2)&gt;5,COUNTIF(FESTIVOS!$A:$A,$B12)&gt;0),0,$H$3*24)</f>
        <v>0.49999999999999989</v>
      </c>
      <c r="I12" s="14">
        <f>IF(OR(WEEKDAY($B12,2)&gt;5,COUNTIF(FESTIVOS!$A:$A,$B12)&gt;0),0,$I$3*24)</f>
        <v>8</v>
      </c>
      <c r="J12" s="14">
        <f>IF(OR(WEEKDAY($B12,2)&gt;5,COUNTIF(FESTIVOS!$A:$A,$B12)&gt;0),"",G12-I12-H12)</f>
        <v>-8.5</v>
      </c>
      <c r="K12" s="14" t="str">
        <f>IF(OR(WEEKDAY($B12,2)&gt;5,COUNTIF(FESTIVOS!$A:$A,$B12)&gt;0),G12,"")</f>
        <v/>
      </c>
      <c r="L12" s="11"/>
    </row>
    <row r="13" spans="1:16" x14ac:dyDescent="0.3">
      <c r="A13" s="11" t="s">
        <v>19</v>
      </c>
      <c r="B13" s="12">
        <v>46150</v>
      </c>
      <c r="C13" s="13">
        <v>0</v>
      </c>
      <c r="D13" s="13">
        <v>0</v>
      </c>
      <c r="E13" s="13">
        <v>0</v>
      </c>
      <c r="F13" s="13">
        <v>0</v>
      </c>
      <c r="G13" s="14">
        <f t="shared" si="0"/>
        <v>0</v>
      </c>
      <c r="H13" s="14">
        <f>IF(OR(WEEKDAY($B13,2)&gt;5,COUNTIF(FESTIVOS!$A:$A,$B13)&gt;0),0,$H$3*24)</f>
        <v>0.49999999999999989</v>
      </c>
      <c r="I13" s="14">
        <f>IF(OR(WEEKDAY($B13,2)&gt;5,COUNTIF(FESTIVOS!$A:$A,$B13)&gt;0),0,$I$3*24)</f>
        <v>8</v>
      </c>
      <c r="J13" s="14">
        <f>IF(OR(WEEKDAY($B13,2)&gt;5,COUNTIF(FESTIVOS!$A:$A,$B13)&gt;0),"",G13-I13-H13)</f>
        <v>-8.5</v>
      </c>
      <c r="K13" s="14" t="str">
        <f>IF(OR(WEEKDAY($B13,2)&gt;5,COUNTIF(FESTIVOS!$A:$A,$B13)&gt;0),G13,"")</f>
        <v/>
      </c>
      <c r="L13" s="11"/>
    </row>
    <row r="14" spans="1:16" x14ac:dyDescent="0.3">
      <c r="A14" s="15" t="s">
        <v>20</v>
      </c>
      <c r="B14" s="16">
        <v>46151</v>
      </c>
      <c r="C14" s="17">
        <v>0</v>
      </c>
      <c r="D14" s="17">
        <v>0</v>
      </c>
      <c r="E14" s="17">
        <v>0</v>
      </c>
      <c r="F14" s="17">
        <v>0</v>
      </c>
      <c r="G14" s="18">
        <f t="shared" si="0"/>
        <v>0</v>
      </c>
      <c r="H14" s="18">
        <f>IF(OR(WEEKDAY($B14,2)&gt;5,COUNTIF(FESTIVOS!$A:$A,$B14)&gt;0),0,$H$3*24)</f>
        <v>0</v>
      </c>
      <c r="I14" s="18">
        <f>IF(OR(WEEKDAY($B14,2)&gt;5,COUNTIF(FESTIVOS!$A:$A,$B14)&gt;0),0,$I$3*24)</f>
        <v>0</v>
      </c>
      <c r="J14" s="18" t="str">
        <f>IF(OR(WEEKDAY($B14,2)&gt;5,COUNTIF(FESTIVOS!$A:$A,$B14)&gt;0),"",G14-I14-H14)</f>
        <v/>
      </c>
      <c r="K14" s="18">
        <f>IF(OR(WEEKDAY($B14,2)&gt;5,COUNTIF(FESTIVOS!$A:$A,$B14)&gt;0),G14,"")</f>
        <v>0</v>
      </c>
      <c r="L14" s="15"/>
    </row>
    <row r="15" spans="1:16" x14ac:dyDescent="0.3">
      <c r="A15" s="15" t="s">
        <v>21</v>
      </c>
      <c r="B15" s="16">
        <v>46152</v>
      </c>
      <c r="C15" s="17">
        <v>0</v>
      </c>
      <c r="D15" s="17">
        <v>0</v>
      </c>
      <c r="E15" s="17">
        <v>0</v>
      </c>
      <c r="F15" s="17">
        <v>0</v>
      </c>
      <c r="G15" s="18">
        <f t="shared" si="0"/>
        <v>0</v>
      </c>
      <c r="H15" s="18">
        <f>IF(OR(WEEKDAY($B15,2)&gt;5,COUNTIF(FESTIVOS!$A:$A,$B15)&gt;0),0,$H$3*24)</f>
        <v>0</v>
      </c>
      <c r="I15" s="18">
        <f>IF(OR(WEEKDAY($B15,2)&gt;5,COUNTIF(FESTIVOS!$A:$A,$B15)&gt;0),0,$I$3*24)</f>
        <v>0</v>
      </c>
      <c r="J15" s="18" t="str">
        <f>IF(OR(WEEKDAY($B15,2)&gt;5,COUNTIF(FESTIVOS!$A:$A,$B15)&gt;0),"",G15-I15-H15)</f>
        <v/>
      </c>
      <c r="K15" s="18">
        <f>IF(OR(WEEKDAY($B15,2)&gt;5,COUNTIF(FESTIVOS!$A:$A,$B15)&gt;0),G15,"")</f>
        <v>0</v>
      </c>
      <c r="L15" s="15"/>
    </row>
    <row r="16" spans="1:16" x14ac:dyDescent="0.3">
      <c r="A16" s="11" t="s">
        <v>15</v>
      </c>
      <c r="B16" s="12">
        <v>46153</v>
      </c>
      <c r="C16" s="13">
        <v>0</v>
      </c>
      <c r="D16" s="13">
        <v>0</v>
      </c>
      <c r="E16" s="13">
        <v>0</v>
      </c>
      <c r="F16" s="13">
        <v>0</v>
      </c>
      <c r="G16" s="14">
        <f t="shared" si="0"/>
        <v>0</v>
      </c>
      <c r="H16" s="14">
        <f>IF(OR(WEEKDAY($B16,2)&gt;5,COUNTIF(FESTIVOS!$A:$A,$B16)&gt;0),0,$H$3*24)</f>
        <v>0.49999999999999989</v>
      </c>
      <c r="I16" s="14">
        <f>IF(OR(WEEKDAY($B16,2)&gt;5,COUNTIF(FESTIVOS!$A:$A,$B16)&gt;0),0,$I$3*24)</f>
        <v>8</v>
      </c>
      <c r="J16" s="14">
        <f>IF(OR(WEEKDAY($B16,2)&gt;5,COUNTIF(FESTIVOS!$A:$A,$B16)&gt;0),"",G16-I16-H16)</f>
        <v>-8.5</v>
      </c>
      <c r="K16" s="14" t="str">
        <f>IF(OR(WEEKDAY($B16,2)&gt;5,COUNTIF(FESTIVOS!$A:$A,$B16)&gt;0),G16,"")</f>
        <v/>
      </c>
      <c r="L16" s="11"/>
    </row>
    <row r="17" spans="1:12" x14ac:dyDescent="0.3">
      <c r="A17" s="11" t="s">
        <v>16</v>
      </c>
      <c r="B17" s="12">
        <v>46154</v>
      </c>
      <c r="C17" s="13">
        <v>0</v>
      </c>
      <c r="D17" s="13">
        <v>0</v>
      </c>
      <c r="E17" s="13">
        <v>0</v>
      </c>
      <c r="F17" s="13">
        <v>0</v>
      </c>
      <c r="G17" s="14">
        <f t="shared" si="0"/>
        <v>0</v>
      </c>
      <c r="H17" s="14">
        <f>IF(OR(WEEKDAY($B17,2)&gt;5,COUNTIF(FESTIVOS!$A:$A,$B17)&gt;0),0,$H$3*24)</f>
        <v>0.49999999999999989</v>
      </c>
      <c r="I17" s="14">
        <f>IF(OR(WEEKDAY($B17,2)&gt;5,COUNTIF(FESTIVOS!$A:$A,$B17)&gt;0),0,$I$3*24)</f>
        <v>8</v>
      </c>
      <c r="J17" s="14">
        <f>IF(OR(WEEKDAY($B17,2)&gt;5,COUNTIF(FESTIVOS!$A:$A,$B17)&gt;0),"",G17-I17-H17)</f>
        <v>-8.5</v>
      </c>
      <c r="K17" s="14" t="str">
        <f>IF(OR(WEEKDAY($B17,2)&gt;5,COUNTIF(FESTIVOS!$A:$A,$B17)&gt;0),G17,"")</f>
        <v/>
      </c>
      <c r="L17" s="11"/>
    </row>
    <row r="18" spans="1:12" x14ac:dyDescent="0.3">
      <c r="A18" s="11" t="s">
        <v>17</v>
      </c>
      <c r="B18" s="12">
        <v>46155</v>
      </c>
      <c r="C18" s="13">
        <v>0</v>
      </c>
      <c r="D18" s="13">
        <v>0</v>
      </c>
      <c r="E18" s="13">
        <v>0</v>
      </c>
      <c r="F18" s="13">
        <v>0</v>
      </c>
      <c r="G18" s="14">
        <f t="shared" si="0"/>
        <v>0</v>
      </c>
      <c r="H18" s="14">
        <f>IF(OR(WEEKDAY($B18,2)&gt;5,COUNTIF(FESTIVOS!$A:$A,$B18)&gt;0),0,$H$3*24)</f>
        <v>0.49999999999999989</v>
      </c>
      <c r="I18" s="14">
        <f>IF(OR(WEEKDAY($B18,2)&gt;5,COUNTIF(FESTIVOS!$A:$A,$B18)&gt;0),0,$I$3*24)</f>
        <v>8</v>
      </c>
      <c r="J18" s="14">
        <f>IF(OR(WEEKDAY($B18,2)&gt;5,COUNTIF(FESTIVOS!$A:$A,$B18)&gt;0),"",G18-I18-H18)</f>
        <v>-8.5</v>
      </c>
      <c r="K18" s="14" t="str">
        <f>IF(OR(WEEKDAY($B18,2)&gt;5,COUNTIF(FESTIVOS!$A:$A,$B18)&gt;0),G18,"")</f>
        <v/>
      </c>
      <c r="L18" s="11"/>
    </row>
    <row r="19" spans="1:12" x14ac:dyDescent="0.3">
      <c r="A19" s="11" t="s">
        <v>18</v>
      </c>
      <c r="B19" s="12">
        <v>46156</v>
      </c>
      <c r="C19" s="13">
        <v>0</v>
      </c>
      <c r="D19" s="13">
        <v>0</v>
      </c>
      <c r="E19" s="13">
        <v>0</v>
      </c>
      <c r="F19" s="13">
        <v>0</v>
      </c>
      <c r="G19" s="14">
        <f t="shared" si="0"/>
        <v>0</v>
      </c>
      <c r="H19" s="14">
        <f>IF(OR(WEEKDAY($B19,2)&gt;5,COUNTIF(FESTIVOS!$A:$A,$B19)&gt;0),0,$H$3*24)</f>
        <v>0.49999999999999989</v>
      </c>
      <c r="I19" s="14">
        <f>IF(OR(WEEKDAY($B19,2)&gt;5,COUNTIF(FESTIVOS!$A:$A,$B19)&gt;0),0,$I$3*24)</f>
        <v>8</v>
      </c>
      <c r="J19" s="14">
        <f>IF(OR(WEEKDAY($B19,2)&gt;5,COUNTIF(FESTIVOS!$A:$A,$B19)&gt;0),"",G19-I19-H19)</f>
        <v>-8.5</v>
      </c>
      <c r="K19" s="14" t="str">
        <f>IF(OR(WEEKDAY($B19,2)&gt;5,COUNTIF(FESTIVOS!$A:$A,$B19)&gt;0),G19,"")</f>
        <v/>
      </c>
      <c r="L19" s="11"/>
    </row>
    <row r="20" spans="1:12" x14ac:dyDescent="0.3">
      <c r="A20" s="11" t="s">
        <v>19</v>
      </c>
      <c r="B20" s="12">
        <v>46157</v>
      </c>
      <c r="C20" s="13">
        <v>0</v>
      </c>
      <c r="D20" s="13">
        <v>0</v>
      </c>
      <c r="E20" s="13">
        <v>0</v>
      </c>
      <c r="F20" s="13">
        <v>0</v>
      </c>
      <c r="G20" s="14">
        <f t="shared" si="0"/>
        <v>0</v>
      </c>
      <c r="H20" s="14">
        <f>IF(OR(WEEKDAY($B20,2)&gt;5,COUNTIF(FESTIVOS!$A:$A,$B20)&gt;0),0,$H$3*24)</f>
        <v>0.49999999999999989</v>
      </c>
      <c r="I20" s="14">
        <f>IF(OR(WEEKDAY($B20,2)&gt;5,COUNTIF(FESTIVOS!$A:$A,$B20)&gt;0),0,$I$3*24)</f>
        <v>8</v>
      </c>
      <c r="J20" s="14">
        <f>IF(OR(WEEKDAY($B20,2)&gt;5,COUNTIF(FESTIVOS!$A:$A,$B20)&gt;0),"",G20-I20-H20)</f>
        <v>-8.5</v>
      </c>
      <c r="K20" s="14" t="str">
        <f>IF(OR(WEEKDAY($B20,2)&gt;5,COUNTIF(FESTIVOS!$A:$A,$B20)&gt;0),G20,"")</f>
        <v/>
      </c>
      <c r="L20" s="11"/>
    </row>
    <row r="21" spans="1:12" x14ac:dyDescent="0.3">
      <c r="A21" s="15" t="s">
        <v>20</v>
      </c>
      <c r="B21" s="16">
        <v>46158</v>
      </c>
      <c r="C21" s="17">
        <v>0</v>
      </c>
      <c r="D21" s="17">
        <v>0</v>
      </c>
      <c r="E21" s="17">
        <v>0</v>
      </c>
      <c r="F21" s="17">
        <v>0</v>
      </c>
      <c r="G21" s="18">
        <f t="shared" si="0"/>
        <v>0</v>
      </c>
      <c r="H21" s="18">
        <f>IF(OR(WEEKDAY($B21,2)&gt;5,COUNTIF(FESTIVOS!$A:$A,$B21)&gt;0),0,$H$3*24)</f>
        <v>0</v>
      </c>
      <c r="I21" s="18">
        <f>IF(OR(WEEKDAY($B21,2)&gt;5,COUNTIF(FESTIVOS!$A:$A,$B21)&gt;0),0,$I$3*24)</f>
        <v>0</v>
      </c>
      <c r="J21" s="18" t="str">
        <f>IF(OR(WEEKDAY($B21,2)&gt;5,COUNTIF(FESTIVOS!$A:$A,$B21)&gt;0),"",G21-I21-H21)</f>
        <v/>
      </c>
      <c r="K21" s="18">
        <f>IF(OR(WEEKDAY($B21,2)&gt;5,COUNTIF(FESTIVOS!$A:$A,$B21)&gt;0),G21,"")</f>
        <v>0</v>
      </c>
      <c r="L21" s="15"/>
    </row>
    <row r="22" spans="1:12" x14ac:dyDescent="0.3">
      <c r="A22" s="15" t="s">
        <v>21</v>
      </c>
      <c r="B22" s="16">
        <v>46159</v>
      </c>
      <c r="C22" s="17">
        <v>0</v>
      </c>
      <c r="D22" s="17">
        <v>0</v>
      </c>
      <c r="E22" s="17">
        <v>0</v>
      </c>
      <c r="F22" s="17">
        <v>0</v>
      </c>
      <c r="G22" s="18">
        <f t="shared" si="0"/>
        <v>0</v>
      </c>
      <c r="H22" s="18">
        <f>IF(OR(WEEKDAY($B22,2)&gt;5,COUNTIF(FESTIVOS!$A:$A,$B22)&gt;0),0,$H$3*24)</f>
        <v>0</v>
      </c>
      <c r="I22" s="18">
        <f>IF(OR(WEEKDAY($B22,2)&gt;5,COUNTIF(FESTIVOS!$A:$A,$B22)&gt;0),0,$I$3*24)</f>
        <v>0</v>
      </c>
      <c r="J22" s="18" t="str">
        <f>IF(OR(WEEKDAY($B22,2)&gt;5,COUNTIF(FESTIVOS!$A:$A,$B22)&gt;0),"",G22-I22-H22)</f>
        <v/>
      </c>
      <c r="K22" s="18">
        <f>IF(OR(WEEKDAY($B22,2)&gt;5,COUNTIF(FESTIVOS!$A:$A,$B22)&gt;0),G22,"")</f>
        <v>0</v>
      </c>
      <c r="L22" s="15"/>
    </row>
    <row r="23" spans="1:12" x14ac:dyDescent="0.3">
      <c r="A23" s="11" t="s">
        <v>15</v>
      </c>
      <c r="B23" s="12">
        <v>46160</v>
      </c>
      <c r="C23" s="13">
        <v>0</v>
      </c>
      <c r="D23" s="13">
        <v>0</v>
      </c>
      <c r="E23" s="13">
        <v>0</v>
      </c>
      <c r="F23" s="13">
        <v>0</v>
      </c>
      <c r="G23" s="14">
        <f t="shared" si="0"/>
        <v>0</v>
      </c>
      <c r="H23" s="14">
        <f>IF(OR(WEEKDAY($B23,2)&gt;5,COUNTIF(FESTIVOS!$A:$A,$B23)&gt;0),0,$H$3*24)</f>
        <v>0.49999999999999989</v>
      </c>
      <c r="I23" s="14">
        <f>IF(OR(WEEKDAY($B23,2)&gt;5,COUNTIF(FESTIVOS!$A:$A,$B23)&gt;0),0,$I$3*24)</f>
        <v>8</v>
      </c>
      <c r="J23" s="14">
        <f>IF(OR(WEEKDAY($B23,2)&gt;5,COUNTIF(FESTIVOS!$A:$A,$B23)&gt;0),"",G23-I23-H23)</f>
        <v>-8.5</v>
      </c>
      <c r="K23" s="14" t="str">
        <f>IF(OR(WEEKDAY($B23,2)&gt;5,COUNTIF(FESTIVOS!$A:$A,$B23)&gt;0),G23,"")</f>
        <v/>
      </c>
      <c r="L23" s="11"/>
    </row>
    <row r="24" spans="1:12" x14ac:dyDescent="0.3">
      <c r="A24" s="11" t="s">
        <v>16</v>
      </c>
      <c r="B24" s="12">
        <v>46161</v>
      </c>
      <c r="C24" s="13">
        <v>0</v>
      </c>
      <c r="D24" s="13">
        <v>0</v>
      </c>
      <c r="E24" s="13">
        <v>0</v>
      </c>
      <c r="F24" s="13">
        <v>0</v>
      </c>
      <c r="G24" s="14">
        <f t="shared" si="0"/>
        <v>0</v>
      </c>
      <c r="H24" s="14">
        <f>IF(OR(WEEKDAY($B24,2)&gt;5,COUNTIF(FESTIVOS!$A:$A,$B24)&gt;0),0,$H$3*24)</f>
        <v>0.49999999999999989</v>
      </c>
      <c r="I24" s="14">
        <f>IF(OR(WEEKDAY($B24,2)&gt;5,COUNTIF(FESTIVOS!$A:$A,$B24)&gt;0),0,$I$3*24)</f>
        <v>8</v>
      </c>
      <c r="J24" s="14">
        <f>IF(OR(WEEKDAY($B24,2)&gt;5,COUNTIF(FESTIVOS!$A:$A,$B24)&gt;0),"",G24-I24-H24)</f>
        <v>-8.5</v>
      </c>
      <c r="K24" s="14" t="str">
        <f>IF(OR(WEEKDAY($B24,2)&gt;5,COUNTIF(FESTIVOS!$A:$A,$B24)&gt;0),G24,"")</f>
        <v/>
      </c>
      <c r="L24" s="11"/>
    </row>
    <row r="25" spans="1:12" x14ac:dyDescent="0.3">
      <c r="A25" s="11" t="s">
        <v>17</v>
      </c>
      <c r="B25" s="12">
        <v>46162</v>
      </c>
      <c r="C25" s="13">
        <v>0</v>
      </c>
      <c r="D25" s="13">
        <v>0</v>
      </c>
      <c r="E25" s="13">
        <v>0</v>
      </c>
      <c r="F25" s="13">
        <v>0</v>
      </c>
      <c r="G25" s="14">
        <f t="shared" si="0"/>
        <v>0</v>
      </c>
      <c r="H25" s="14">
        <f>IF(OR(WEEKDAY($B25,2)&gt;5,COUNTIF(FESTIVOS!$A:$A,$B25)&gt;0),0,$H$3*24)</f>
        <v>0.49999999999999989</v>
      </c>
      <c r="I25" s="14">
        <f>IF(OR(WEEKDAY($B25,2)&gt;5,COUNTIF(FESTIVOS!$A:$A,$B25)&gt;0),0,$I$3*24)</f>
        <v>8</v>
      </c>
      <c r="J25" s="14">
        <f>IF(OR(WEEKDAY($B25,2)&gt;5,COUNTIF(FESTIVOS!$A:$A,$B25)&gt;0),"",G25-I25-H25)</f>
        <v>-8.5</v>
      </c>
      <c r="K25" s="14" t="str">
        <f>IF(OR(WEEKDAY($B25,2)&gt;5,COUNTIF(FESTIVOS!$A:$A,$B25)&gt;0),G25,"")</f>
        <v/>
      </c>
      <c r="L25" s="11"/>
    </row>
    <row r="26" spans="1:12" x14ac:dyDescent="0.3">
      <c r="A26" s="11" t="s">
        <v>18</v>
      </c>
      <c r="B26" s="12">
        <v>46163</v>
      </c>
      <c r="C26" s="13">
        <v>0</v>
      </c>
      <c r="D26" s="13">
        <v>0</v>
      </c>
      <c r="E26" s="13">
        <v>0</v>
      </c>
      <c r="F26" s="13">
        <v>0</v>
      </c>
      <c r="G26" s="14">
        <f t="shared" si="0"/>
        <v>0</v>
      </c>
      <c r="H26" s="14">
        <f>IF(OR(WEEKDAY($B26,2)&gt;5,COUNTIF(FESTIVOS!$A:$A,$B26)&gt;0),0,$H$3*24)</f>
        <v>0.49999999999999989</v>
      </c>
      <c r="I26" s="14">
        <f>IF(OR(WEEKDAY($B26,2)&gt;5,COUNTIF(FESTIVOS!$A:$A,$B26)&gt;0),0,$I$3*24)</f>
        <v>8</v>
      </c>
      <c r="J26" s="14">
        <f>IF(OR(WEEKDAY($B26,2)&gt;5,COUNTIF(FESTIVOS!$A:$A,$B26)&gt;0),"",G26-I26-H26)</f>
        <v>-8.5</v>
      </c>
      <c r="K26" s="14" t="str">
        <f>IF(OR(WEEKDAY($B26,2)&gt;5,COUNTIF(FESTIVOS!$A:$A,$B26)&gt;0),G26,"")</f>
        <v/>
      </c>
      <c r="L26" s="11"/>
    </row>
    <row r="27" spans="1:12" x14ac:dyDescent="0.3">
      <c r="A27" s="11" t="s">
        <v>19</v>
      </c>
      <c r="B27" s="12">
        <v>46164</v>
      </c>
      <c r="C27" s="13">
        <v>0</v>
      </c>
      <c r="D27" s="13">
        <v>0</v>
      </c>
      <c r="E27" s="13">
        <v>0</v>
      </c>
      <c r="F27" s="13">
        <v>0</v>
      </c>
      <c r="G27" s="14">
        <f t="shared" si="0"/>
        <v>0</v>
      </c>
      <c r="H27" s="14">
        <f>IF(OR(WEEKDAY($B27,2)&gt;5,COUNTIF(FESTIVOS!$A:$A,$B27)&gt;0),0,$H$3*24)</f>
        <v>0.49999999999999989</v>
      </c>
      <c r="I27" s="14">
        <f>IF(OR(WEEKDAY($B27,2)&gt;5,COUNTIF(FESTIVOS!$A:$A,$B27)&gt;0),0,$I$3*24)</f>
        <v>8</v>
      </c>
      <c r="J27" s="14">
        <f>IF(OR(WEEKDAY($B27,2)&gt;5,COUNTIF(FESTIVOS!$A:$A,$B27)&gt;0),"",G27-I27-H27)</f>
        <v>-8.5</v>
      </c>
      <c r="K27" s="14" t="str">
        <f>IF(OR(WEEKDAY($B27,2)&gt;5,COUNTIF(FESTIVOS!$A:$A,$B27)&gt;0),G27,"")</f>
        <v/>
      </c>
      <c r="L27" s="11"/>
    </row>
    <row r="28" spans="1:12" x14ac:dyDescent="0.3">
      <c r="A28" s="15" t="s">
        <v>20</v>
      </c>
      <c r="B28" s="16">
        <v>46165</v>
      </c>
      <c r="C28" s="17">
        <v>0</v>
      </c>
      <c r="D28" s="17">
        <v>0</v>
      </c>
      <c r="E28" s="17">
        <v>0</v>
      </c>
      <c r="F28" s="17">
        <v>0</v>
      </c>
      <c r="G28" s="18">
        <f t="shared" si="0"/>
        <v>0</v>
      </c>
      <c r="H28" s="18">
        <f>IF(OR(WEEKDAY($B28,2)&gt;5,COUNTIF(FESTIVOS!$A:$A,$B28)&gt;0),0,$H$3*24)</f>
        <v>0</v>
      </c>
      <c r="I28" s="18">
        <f>IF(OR(WEEKDAY($B28,2)&gt;5,COUNTIF(FESTIVOS!$A:$A,$B28)&gt;0),0,$I$3*24)</f>
        <v>0</v>
      </c>
      <c r="J28" s="18" t="str">
        <f>IF(OR(WEEKDAY($B28,2)&gt;5,COUNTIF(FESTIVOS!$A:$A,$B28)&gt;0),"",G28-I28-H28)</f>
        <v/>
      </c>
      <c r="K28" s="18">
        <f>IF(OR(WEEKDAY($B28,2)&gt;5,COUNTIF(FESTIVOS!$A:$A,$B28)&gt;0),G28,"")</f>
        <v>0</v>
      </c>
      <c r="L28" s="15"/>
    </row>
    <row r="29" spans="1:12" x14ac:dyDescent="0.3">
      <c r="A29" s="15" t="s">
        <v>21</v>
      </c>
      <c r="B29" s="16">
        <v>46166</v>
      </c>
      <c r="C29" s="17">
        <v>0</v>
      </c>
      <c r="D29" s="17">
        <v>0</v>
      </c>
      <c r="E29" s="17">
        <v>0</v>
      </c>
      <c r="F29" s="17">
        <v>0</v>
      </c>
      <c r="G29" s="18">
        <f t="shared" si="0"/>
        <v>0</v>
      </c>
      <c r="H29" s="18">
        <f>IF(OR(WEEKDAY($B29,2)&gt;5,COUNTIF(FESTIVOS!$A:$A,$B29)&gt;0),0,$H$3*24)</f>
        <v>0</v>
      </c>
      <c r="I29" s="18">
        <f>IF(OR(WEEKDAY($B29,2)&gt;5,COUNTIF(FESTIVOS!$A:$A,$B29)&gt;0),0,$I$3*24)</f>
        <v>0</v>
      </c>
      <c r="J29" s="18" t="str">
        <f>IF(OR(WEEKDAY($B29,2)&gt;5,COUNTIF(FESTIVOS!$A:$A,$B29)&gt;0),"",G29-I29-H29)</f>
        <v/>
      </c>
      <c r="K29" s="18">
        <f>IF(OR(WEEKDAY($B29,2)&gt;5,COUNTIF(FESTIVOS!$A:$A,$B29)&gt;0),G29,"")</f>
        <v>0</v>
      </c>
      <c r="L29" s="15"/>
    </row>
    <row r="30" spans="1:12" x14ac:dyDescent="0.3">
      <c r="A30" s="11" t="s">
        <v>15</v>
      </c>
      <c r="B30" s="12">
        <v>46167</v>
      </c>
      <c r="C30" s="13">
        <v>0</v>
      </c>
      <c r="D30" s="13">
        <v>0</v>
      </c>
      <c r="E30" s="13">
        <v>0</v>
      </c>
      <c r="F30" s="13">
        <v>0</v>
      </c>
      <c r="G30" s="14">
        <f t="shared" si="0"/>
        <v>0</v>
      </c>
      <c r="H30" s="14">
        <f>IF(OR(WEEKDAY($B30,2)&gt;5,COUNTIF(FESTIVOS!$A:$A,$B30)&gt;0),0,$H$3*24)</f>
        <v>0.49999999999999989</v>
      </c>
      <c r="I30" s="14">
        <f>IF(OR(WEEKDAY($B30,2)&gt;5,COUNTIF(FESTIVOS!$A:$A,$B30)&gt;0),0,$I$3*24)</f>
        <v>8</v>
      </c>
      <c r="J30" s="14">
        <f>IF(OR(WEEKDAY($B30,2)&gt;5,COUNTIF(FESTIVOS!$A:$A,$B30)&gt;0),"",G30-I30-H30)</f>
        <v>-8.5</v>
      </c>
      <c r="K30" s="14" t="str">
        <f>IF(OR(WEEKDAY($B30,2)&gt;5,COUNTIF(FESTIVOS!$A:$A,$B30)&gt;0),G30,"")</f>
        <v/>
      </c>
      <c r="L30" s="11"/>
    </row>
    <row r="31" spans="1:12" x14ac:dyDescent="0.3">
      <c r="A31" s="11" t="s">
        <v>16</v>
      </c>
      <c r="B31" s="12">
        <v>46168</v>
      </c>
      <c r="C31" s="13">
        <v>0</v>
      </c>
      <c r="D31" s="13">
        <v>0</v>
      </c>
      <c r="E31" s="13">
        <v>0</v>
      </c>
      <c r="F31" s="13">
        <v>0</v>
      </c>
      <c r="G31" s="14">
        <f t="shared" si="0"/>
        <v>0</v>
      </c>
      <c r="H31" s="14">
        <f>IF(OR(WEEKDAY($B31,2)&gt;5,COUNTIF(FESTIVOS!$A:$A,$B31)&gt;0),0,$H$3*24)</f>
        <v>0.49999999999999989</v>
      </c>
      <c r="I31" s="14">
        <f>IF(OR(WEEKDAY($B31,2)&gt;5,COUNTIF(FESTIVOS!$A:$A,$B31)&gt;0),0,$I$3*24)</f>
        <v>8</v>
      </c>
      <c r="J31" s="14">
        <f>IF(OR(WEEKDAY($B31,2)&gt;5,COUNTIF(FESTIVOS!$A:$A,$B31)&gt;0),"",G31-I31-H31)</f>
        <v>-8.5</v>
      </c>
      <c r="K31" s="14" t="str">
        <f>IF(OR(WEEKDAY($B31,2)&gt;5,COUNTIF(FESTIVOS!$A:$A,$B31)&gt;0),G31,"")</f>
        <v/>
      </c>
      <c r="L31" s="11"/>
    </row>
    <row r="32" spans="1:12" x14ac:dyDescent="0.3">
      <c r="A32" s="11" t="s">
        <v>17</v>
      </c>
      <c r="B32" s="12">
        <v>46169</v>
      </c>
      <c r="C32" s="13">
        <v>0</v>
      </c>
      <c r="D32" s="13">
        <v>0</v>
      </c>
      <c r="E32" s="13">
        <v>0</v>
      </c>
      <c r="F32" s="13">
        <v>0</v>
      </c>
      <c r="G32" s="14">
        <f t="shared" si="0"/>
        <v>0</v>
      </c>
      <c r="H32" s="14">
        <f>IF(OR(WEEKDAY($B32,2)&gt;5,COUNTIF(FESTIVOS!$A:$A,$B32)&gt;0),0,$H$3*24)</f>
        <v>0.49999999999999989</v>
      </c>
      <c r="I32" s="14">
        <f>IF(OR(WEEKDAY($B32,2)&gt;5,COUNTIF(FESTIVOS!$A:$A,$B32)&gt;0),0,$I$3*24)</f>
        <v>8</v>
      </c>
      <c r="J32" s="14">
        <f>IF(OR(WEEKDAY($B32,2)&gt;5,COUNTIF(FESTIVOS!$A:$A,$B32)&gt;0),"",G32-I32-H32)</f>
        <v>-8.5</v>
      </c>
      <c r="K32" s="14" t="str">
        <f>IF(OR(WEEKDAY($B32,2)&gt;5,COUNTIF(FESTIVOS!$A:$A,$B32)&gt;0),G32,"")</f>
        <v/>
      </c>
      <c r="L32" s="11"/>
    </row>
    <row r="33" spans="1:12" x14ac:dyDescent="0.3">
      <c r="A33" s="11" t="s">
        <v>18</v>
      </c>
      <c r="B33" s="12">
        <v>46170</v>
      </c>
      <c r="C33" s="13">
        <v>0</v>
      </c>
      <c r="D33" s="13">
        <v>0</v>
      </c>
      <c r="E33" s="13">
        <v>0</v>
      </c>
      <c r="F33" s="13">
        <v>0</v>
      </c>
      <c r="G33" s="14">
        <f t="shared" si="0"/>
        <v>0</v>
      </c>
      <c r="H33" s="14">
        <f>IF(OR(WEEKDAY($B33,2)&gt;5,COUNTIF(FESTIVOS!$A:$A,$B33)&gt;0),0,$H$3*24)</f>
        <v>0.49999999999999989</v>
      </c>
      <c r="I33" s="14">
        <f>IF(OR(WEEKDAY($B33,2)&gt;5,COUNTIF(FESTIVOS!$A:$A,$B33)&gt;0),0,$I$3*24)</f>
        <v>8</v>
      </c>
      <c r="J33" s="14">
        <f>IF(OR(WEEKDAY($B33,2)&gt;5,COUNTIF(FESTIVOS!$A:$A,$B33)&gt;0),"",G33-I33-H33)</f>
        <v>-8.5</v>
      </c>
      <c r="K33" s="14" t="str">
        <f>IF(OR(WEEKDAY($B33,2)&gt;5,COUNTIF(FESTIVOS!$A:$A,$B33)&gt;0),G33,"")</f>
        <v/>
      </c>
      <c r="L33" s="11"/>
    </row>
    <row r="34" spans="1:12" x14ac:dyDescent="0.3">
      <c r="A34" s="11" t="s">
        <v>19</v>
      </c>
      <c r="B34" s="12">
        <v>46171</v>
      </c>
      <c r="C34" s="13">
        <v>0</v>
      </c>
      <c r="D34" s="13">
        <v>0</v>
      </c>
      <c r="E34" s="13">
        <v>0</v>
      </c>
      <c r="F34" s="13">
        <v>0</v>
      </c>
      <c r="G34" s="14">
        <f t="shared" si="0"/>
        <v>0</v>
      </c>
      <c r="H34" s="14">
        <f>IF(OR(WEEKDAY($B34,2)&gt;5,COUNTIF(FESTIVOS!$A:$A,$B34)&gt;0),0,$H$3*24)</f>
        <v>0.49999999999999989</v>
      </c>
      <c r="I34" s="14">
        <f>IF(OR(WEEKDAY($B34,2)&gt;5,COUNTIF(FESTIVOS!$A:$A,$B34)&gt;0),0,$I$3*24)</f>
        <v>8</v>
      </c>
      <c r="J34" s="14">
        <f>IF(OR(WEEKDAY($B34,2)&gt;5,COUNTIF(FESTIVOS!$A:$A,$B34)&gt;0),"",G34-I34-H34)</f>
        <v>-8.5</v>
      </c>
      <c r="K34" s="14" t="str">
        <f>IF(OR(WEEKDAY($B34,2)&gt;5,COUNTIF(FESTIVOS!$A:$A,$B34)&gt;0),G34,"")</f>
        <v/>
      </c>
      <c r="L34" s="11"/>
    </row>
    <row r="35" spans="1:12" x14ac:dyDescent="0.3">
      <c r="A35" s="15" t="s">
        <v>20</v>
      </c>
      <c r="B35" s="16">
        <v>46172</v>
      </c>
      <c r="C35" s="17">
        <v>0</v>
      </c>
      <c r="D35" s="17">
        <v>0</v>
      </c>
      <c r="E35" s="17">
        <v>0</v>
      </c>
      <c r="F35" s="17">
        <v>0</v>
      </c>
      <c r="G35" s="18">
        <f t="shared" si="0"/>
        <v>0</v>
      </c>
      <c r="H35" s="18">
        <f>IF(OR(WEEKDAY($B35,2)&gt;5,COUNTIF(FESTIVOS!$A:$A,$B35)&gt;0),0,$H$3*24)</f>
        <v>0</v>
      </c>
      <c r="I35" s="18">
        <f>IF(OR(WEEKDAY($B35,2)&gt;5,COUNTIF(FESTIVOS!$A:$A,$B35)&gt;0),0,$I$3*24)</f>
        <v>0</v>
      </c>
      <c r="J35" s="18" t="str">
        <f>IF(OR(WEEKDAY($B35,2)&gt;5,COUNTIF(FESTIVOS!$A:$A,$B35)&gt;0),"",G35-I35-H35)</f>
        <v/>
      </c>
      <c r="K35" s="18">
        <f>IF(OR(WEEKDAY($B35,2)&gt;5,COUNTIF(FESTIVOS!$A:$A,$B35)&gt;0),G35,"")</f>
        <v>0</v>
      </c>
      <c r="L35" s="15"/>
    </row>
    <row r="36" spans="1:12" x14ac:dyDescent="0.3">
      <c r="A36" s="15" t="s">
        <v>21</v>
      </c>
      <c r="B36" s="16">
        <v>46173</v>
      </c>
      <c r="C36" s="17">
        <v>0</v>
      </c>
      <c r="D36" s="17">
        <v>0</v>
      </c>
      <c r="E36" s="17">
        <v>0</v>
      </c>
      <c r="F36" s="17">
        <v>0</v>
      </c>
      <c r="G36" s="18">
        <f t="shared" si="0"/>
        <v>0</v>
      </c>
      <c r="H36" s="18">
        <f>IF(OR(WEEKDAY($B36,2)&gt;5,COUNTIF(FESTIVOS!$A:$A,$B36)&gt;0),0,$H$3*24)</f>
        <v>0</v>
      </c>
      <c r="I36" s="18">
        <f>IF(OR(WEEKDAY($B36,2)&gt;5,COUNTIF(FESTIVOS!$A:$A,$B36)&gt;0),0,$I$3*24)</f>
        <v>0</v>
      </c>
      <c r="J36" s="18" t="str">
        <f>IF(OR(WEEKDAY($B36,2)&gt;5,COUNTIF(FESTIVOS!$A:$A,$B36)&gt;0),"",G36-I36-H36)</f>
        <v/>
      </c>
      <c r="K36" s="18">
        <f>IF(OR(WEEKDAY($B36,2)&gt;5,COUNTIF(FESTIVOS!$A:$A,$B36)&gt;0),G36,"")</f>
        <v>0</v>
      </c>
      <c r="L36" s="15"/>
    </row>
  </sheetData>
  <mergeCells count="1">
    <mergeCell ref="C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5"/>
  <sheetViews>
    <sheetView workbookViewId="0">
      <selection activeCell="D11" sqref="D11"/>
    </sheetView>
  </sheetViews>
  <sheetFormatPr baseColWidth="10" defaultColWidth="9.140625" defaultRowHeight="16.5" x14ac:dyDescent="0.3"/>
  <cols>
    <col min="1" max="1" width="4.7109375" style="2" bestFit="1" customWidth="1"/>
    <col min="2" max="2" width="13.85546875" style="2" bestFit="1" customWidth="1"/>
    <col min="3" max="3" width="11.85546875" style="2" bestFit="1" customWidth="1"/>
    <col min="4" max="4" width="9.7109375" style="2" bestFit="1" customWidth="1"/>
    <col min="5" max="5" width="11.85546875" style="2" bestFit="1" customWidth="1"/>
    <col min="6" max="7" width="9.7109375" style="2" bestFit="1" customWidth="1"/>
    <col min="8" max="8" width="14.7109375" style="2" bestFit="1" customWidth="1"/>
    <col min="9" max="9" width="8" style="2" customWidth="1"/>
    <col min="10" max="10" width="9.28515625" style="2" bestFit="1" customWidth="1"/>
    <col min="11" max="11" width="17.5703125" style="2" bestFit="1" customWidth="1"/>
    <col min="12" max="12" width="20.140625" style="2" bestFit="1" customWidth="1"/>
    <col min="13" max="13" width="9.140625" style="2"/>
    <col min="14" max="14" width="11.5703125" style="2" bestFit="1" customWidth="1"/>
    <col min="15" max="15" width="22.85546875" style="2" bestFit="1" customWidth="1"/>
    <col min="16" max="16" width="11.5703125" style="2" bestFit="1" customWidth="1"/>
    <col min="17" max="16384" width="9.140625" style="2"/>
  </cols>
  <sheetData>
    <row r="1" spans="1:16" ht="18" x14ac:dyDescent="0.35">
      <c r="N1" s="3">
        <v>9</v>
      </c>
      <c r="O1" s="3">
        <v>10</v>
      </c>
    </row>
    <row r="2" spans="1:16" ht="18" x14ac:dyDescent="0.35">
      <c r="C2" s="4" t="s">
        <v>0</v>
      </c>
      <c r="D2" s="5"/>
      <c r="F2" s="6" t="s">
        <v>1</v>
      </c>
      <c r="N2" s="6" t="s">
        <v>2</v>
      </c>
      <c r="O2" s="6" t="s">
        <v>3</v>
      </c>
    </row>
    <row r="3" spans="1:16" ht="18" x14ac:dyDescent="0.35">
      <c r="F3" s="6" t="s">
        <v>27</v>
      </c>
      <c r="H3" s="7">
        <v>2.0833333333333329E-2</v>
      </c>
      <c r="I3" s="7">
        <v>0.33333333333333331</v>
      </c>
      <c r="N3" s="8" t="e">
        <f>SUMPRODUCT((J6:J35&gt;0)*(J6:J35))</f>
        <v>#VALUE!</v>
      </c>
      <c r="O3" s="8">
        <f>SUM(K6:K35)</f>
        <v>0</v>
      </c>
    </row>
    <row r="4" spans="1:16" ht="18" x14ac:dyDescent="0.35">
      <c r="P4" s="6" t="s">
        <v>5</v>
      </c>
    </row>
    <row r="5" spans="1:16" ht="18" x14ac:dyDescent="0.35">
      <c r="A5" s="9" t="s">
        <v>6</v>
      </c>
      <c r="B5" s="9" t="s">
        <v>7</v>
      </c>
      <c r="C5" s="9" t="s">
        <v>8</v>
      </c>
      <c r="D5" s="9" t="s">
        <v>9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2</v>
      </c>
      <c r="K5" s="9" t="s">
        <v>13</v>
      </c>
      <c r="L5" s="9" t="s">
        <v>14</v>
      </c>
      <c r="N5" s="10" t="e">
        <f>N3*N1</f>
        <v>#VALUE!</v>
      </c>
      <c r="O5" s="10">
        <f>O3*O1</f>
        <v>0</v>
      </c>
      <c r="P5" s="10" t="e">
        <f>N5+O5</f>
        <v>#VALUE!</v>
      </c>
    </row>
    <row r="6" spans="1:16" x14ac:dyDescent="0.3">
      <c r="A6" s="11" t="s">
        <v>15</v>
      </c>
      <c r="B6" s="12">
        <v>46174</v>
      </c>
      <c r="C6" s="13">
        <v>0</v>
      </c>
      <c r="D6" s="13">
        <v>0</v>
      </c>
      <c r="E6" s="13">
        <v>0</v>
      </c>
      <c r="F6" s="13">
        <v>0</v>
      </c>
      <c r="G6" s="14">
        <f t="shared" ref="G6:G35" si="0">IF(AND(C6="",D6="",E6="",F6=""),0,(F6-E6+D6-C6)*24)</f>
        <v>0</v>
      </c>
      <c r="H6" s="14">
        <f>IF(OR(WEEKDAY($B6,2)&gt;5,COUNTIF(FESTIVOS!$A:$A,$B6)&gt;0),0,$H$3*24)</f>
        <v>0.49999999999999989</v>
      </c>
      <c r="I6" s="14">
        <f>IF(OR(WEEKDAY($B6,2)&gt;5,COUNTIF(FESTIVOS!$A:$A,$B6)&gt;0),0,$I$3*24)</f>
        <v>8</v>
      </c>
      <c r="J6" s="14">
        <f>IF(OR(WEEKDAY($B6,2)&gt;5,COUNTIF(FESTIVOS!$A:$A,$B6)&gt;0),"",G6-I6-H6)</f>
        <v>-8.5</v>
      </c>
      <c r="K6" s="14" t="str">
        <f>IF(OR(WEEKDAY($B6,2)&gt;5,COUNTIF(FESTIVOS!$A:$A,$B6)&gt;0),G6,"")</f>
        <v/>
      </c>
      <c r="L6" s="11"/>
    </row>
    <row r="7" spans="1:16" x14ac:dyDescent="0.3">
      <c r="A7" s="11" t="s">
        <v>16</v>
      </c>
      <c r="B7" s="12">
        <v>46175</v>
      </c>
      <c r="C7" s="13">
        <v>0</v>
      </c>
      <c r="D7" s="13">
        <v>0</v>
      </c>
      <c r="E7" s="13">
        <v>0</v>
      </c>
      <c r="F7" s="13">
        <v>0</v>
      </c>
      <c r="G7" s="14">
        <f t="shared" si="0"/>
        <v>0</v>
      </c>
      <c r="H7" s="14">
        <f>IF(OR(WEEKDAY($B7,2)&gt;5,COUNTIF(FESTIVOS!$A:$A,$B7)&gt;0),0,$H$3*24)</f>
        <v>0.49999999999999989</v>
      </c>
      <c r="I7" s="14">
        <f>IF(OR(WEEKDAY($B7,2)&gt;5,COUNTIF(FESTIVOS!$A:$A,$B7)&gt;0),0,$I$3*24)</f>
        <v>8</v>
      </c>
      <c r="J7" s="14">
        <f>IF(OR(WEEKDAY($B7,2)&gt;5,COUNTIF(FESTIVOS!$A:$A,$B7)&gt;0),"",G7-I7-H7)</f>
        <v>-8.5</v>
      </c>
      <c r="K7" s="14" t="str">
        <f>IF(OR(WEEKDAY($B7,2)&gt;5,COUNTIF(FESTIVOS!$A:$A,$B7)&gt;0),G7,"")</f>
        <v/>
      </c>
      <c r="L7" s="11"/>
    </row>
    <row r="8" spans="1:16" x14ac:dyDescent="0.3">
      <c r="A8" s="11" t="s">
        <v>17</v>
      </c>
      <c r="B8" s="12">
        <v>46176</v>
      </c>
      <c r="C8" s="13">
        <v>0</v>
      </c>
      <c r="D8" s="13">
        <v>0</v>
      </c>
      <c r="E8" s="13">
        <v>0</v>
      </c>
      <c r="F8" s="13">
        <v>0</v>
      </c>
      <c r="G8" s="14">
        <f t="shared" si="0"/>
        <v>0</v>
      </c>
      <c r="H8" s="14">
        <f>IF(OR(WEEKDAY($B8,2)&gt;5,COUNTIF(FESTIVOS!$A:$A,$B8)&gt;0),0,$H$3*24)</f>
        <v>0.49999999999999989</v>
      </c>
      <c r="I8" s="14">
        <f>IF(OR(WEEKDAY($B8,2)&gt;5,COUNTIF(FESTIVOS!$A:$A,$B8)&gt;0),0,$I$3*24)</f>
        <v>8</v>
      </c>
      <c r="J8" s="14">
        <f>IF(OR(WEEKDAY($B8,2)&gt;5,COUNTIF(FESTIVOS!$A:$A,$B8)&gt;0),"",G8-I8-H8)</f>
        <v>-8.5</v>
      </c>
      <c r="K8" s="14" t="str">
        <f>IF(OR(WEEKDAY($B8,2)&gt;5,COUNTIF(FESTIVOS!$A:$A,$B8)&gt;0),G8,"")</f>
        <v/>
      </c>
      <c r="L8" s="11"/>
    </row>
    <row r="9" spans="1:16" x14ac:dyDescent="0.3">
      <c r="A9" s="11" t="s">
        <v>18</v>
      </c>
      <c r="B9" s="12">
        <v>46177</v>
      </c>
      <c r="C9" s="13">
        <v>0</v>
      </c>
      <c r="D9" s="13">
        <v>0</v>
      </c>
      <c r="E9" s="13">
        <v>0</v>
      </c>
      <c r="F9" s="13">
        <v>0</v>
      </c>
      <c r="G9" s="14">
        <f t="shared" si="0"/>
        <v>0</v>
      </c>
      <c r="H9" s="14">
        <f>IF(OR(WEEKDAY($B9,2)&gt;5,COUNTIF(FESTIVOS!$A:$A,$B9)&gt;0),0,$H$3*24)</f>
        <v>0.49999999999999989</v>
      </c>
      <c r="I9" s="14">
        <f>IF(OR(WEEKDAY($B9,2)&gt;5,COUNTIF(FESTIVOS!$A:$A,$B9)&gt;0),0,$I$3*24)</f>
        <v>8</v>
      </c>
      <c r="J9" s="14">
        <f>IF(OR(WEEKDAY($B9,2)&gt;5,COUNTIF(FESTIVOS!$A:$A,$B9)&gt;0),"",G9-I9-H9)</f>
        <v>-8.5</v>
      </c>
      <c r="K9" s="14" t="str">
        <f>IF(OR(WEEKDAY($B9,2)&gt;5,COUNTIF(FESTIVOS!$A:$A,$B9)&gt;0),G9,"")</f>
        <v/>
      </c>
      <c r="L9" s="11"/>
    </row>
    <row r="10" spans="1:16" x14ac:dyDescent="0.3">
      <c r="A10" s="11" t="s">
        <v>19</v>
      </c>
      <c r="B10" s="12">
        <v>46178</v>
      </c>
      <c r="C10" s="13">
        <v>0</v>
      </c>
      <c r="D10" s="13">
        <v>0</v>
      </c>
      <c r="E10" s="13">
        <v>0</v>
      </c>
      <c r="F10" s="13">
        <v>0</v>
      </c>
      <c r="G10" s="14">
        <f t="shared" si="0"/>
        <v>0</v>
      </c>
      <c r="H10" s="14">
        <f>IF(OR(WEEKDAY($B10,2)&gt;5,COUNTIF(FESTIVOS!$A:$A,$B10)&gt;0),0,$H$3*24)</f>
        <v>0.49999999999999989</v>
      </c>
      <c r="I10" s="14">
        <f>IF(OR(WEEKDAY($B10,2)&gt;5,COUNTIF(FESTIVOS!$A:$A,$B10)&gt;0),0,$I$3*24)</f>
        <v>8</v>
      </c>
      <c r="J10" s="14">
        <f>IF(OR(WEEKDAY($B10,2)&gt;5,COUNTIF(FESTIVOS!$A:$A,$B10)&gt;0),"",G10-I10-H10)</f>
        <v>-8.5</v>
      </c>
      <c r="K10" s="14" t="str">
        <f>IF(OR(WEEKDAY($B10,2)&gt;5,COUNTIF(FESTIVOS!$A:$A,$B10)&gt;0),G10,"")</f>
        <v/>
      </c>
      <c r="L10" s="11"/>
    </row>
    <row r="11" spans="1:16" x14ac:dyDescent="0.3">
      <c r="A11" s="15" t="s">
        <v>20</v>
      </c>
      <c r="B11" s="16">
        <v>46179</v>
      </c>
      <c r="C11" s="17">
        <v>0</v>
      </c>
      <c r="D11" s="17">
        <v>0</v>
      </c>
      <c r="E11" s="17">
        <v>0</v>
      </c>
      <c r="F11" s="17">
        <v>0</v>
      </c>
      <c r="G11" s="18">
        <f t="shared" si="0"/>
        <v>0</v>
      </c>
      <c r="H11" s="18">
        <f>IF(OR(WEEKDAY($B11,2)&gt;5,COUNTIF(FESTIVOS!$A:$A,$B11)&gt;0),0,$H$3*24)</f>
        <v>0</v>
      </c>
      <c r="I11" s="18">
        <f>IF(OR(WEEKDAY($B11,2)&gt;5,COUNTIF(FESTIVOS!$A:$A,$B11)&gt;0),0,$I$3*24)</f>
        <v>0</v>
      </c>
      <c r="J11" s="18" t="str">
        <f>IF(OR(WEEKDAY($B11,2)&gt;5,COUNTIF(FESTIVOS!$A:$A,$B11)&gt;0),"",G11-I11-H11)</f>
        <v/>
      </c>
      <c r="K11" s="18">
        <f>IF(OR(WEEKDAY($B11,2)&gt;5,COUNTIF(FESTIVOS!$A:$A,$B11)&gt;0),G11,"")</f>
        <v>0</v>
      </c>
      <c r="L11" s="15"/>
    </row>
    <row r="12" spans="1:16" x14ac:dyDescent="0.3">
      <c r="A12" s="15" t="s">
        <v>21</v>
      </c>
      <c r="B12" s="16">
        <v>46180</v>
      </c>
      <c r="C12" s="17">
        <v>0</v>
      </c>
      <c r="D12" s="17">
        <v>0</v>
      </c>
      <c r="E12" s="17">
        <v>0</v>
      </c>
      <c r="F12" s="17">
        <v>0</v>
      </c>
      <c r="G12" s="18">
        <f t="shared" si="0"/>
        <v>0</v>
      </c>
      <c r="H12" s="18">
        <f>IF(OR(WEEKDAY($B12,2)&gt;5,COUNTIF(FESTIVOS!$A:$A,$B12)&gt;0),0,$H$3*24)</f>
        <v>0</v>
      </c>
      <c r="I12" s="18">
        <f>IF(OR(WEEKDAY($B12,2)&gt;5,COUNTIF(FESTIVOS!$A:$A,$B12)&gt;0),0,$I$3*24)</f>
        <v>0</v>
      </c>
      <c r="J12" s="18" t="str">
        <f>IF(OR(WEEKDAY($B12,2)&gt;5,COUNTIF(FESTIVOS!$A:$A,$B12)&gt;0),"",G12-I12-H12)</f>
        <v/>
      </c>
      <c r="K12" s="18">
        <f>IF(OR(WEEKDAY($B12,2)&gt;5,COUNTIF(FESTIVOS!$A:$A,$B12)&gt;0),G12,"")</f>
        <v>0</v>
      </c>
      <c r="L12" s="15"/>
    </row>
    <row r="13" spans="1:16" x14ac:dyDescent="0.3">
      <c r="A13" s="11" t="s">
        <v>15</v>
      </c>
      <c r="B13" s="12">
        <v>46181</v>
      </c>
      <c r="C13" s="13">
        <v>0</v>
      </c>
      <c r="D13" s="13">
        <v>0</v>
      </c>
      <c r="E13" s="13">
        <v>0</v>
      </c>
      <c r="F13" s="13">
        <v>0</v>
      </c>
      <c r="G13" s="14">
        <f t="shared" si="0"/>
        <v>0</v>
      </c>
      <c r="H13" s="14">
        <f>IF(OR(WEEKDAY($B13,2)&gt;5,COUNTIF(FESTIVOS!$A:$A,$B13)&gt;0),0,$H$3*24)</f>
        <v>0.49999999999999989</v>
      </c>
      <c r="I13" s="14">
        <f>IF(OR(WEEKDAY($B13,2)&gt;5,COUNTIF(FESTIVOS!$A:$A,$B13)&gt;0),0,$I$3*24)</f>
        <v>8</v>
      </c>
      <c r="J13" s="14">
        <f>IF(OR(WEEKDAY($B13,2)&gt;5,COUNTIF(FESTIVOS!$A:$A,$B13)&gt;0),"",G13-I13-H13)</f>
        <v>-8.5</v>
      </c>
      <c r="K13" s="14" t="str">
        <f>IF(OR(WEEKDAY($B13,2)&gt;5,COUNTIF(FESTIVOS!$A:$A,$B13)&gt;0),G13,"")</f>
        <v/>
      </c>
      <c r="L13" s="11"/>
    </row>
    <row r="14" spans="1:16" x14ac:dyDescent="0.3">
      <c r="A14" s="11" t="s">
        <v>16</v>
      </c>
      <c r="B14" s="12">
        <v>46182</v>
      </c>
      <c r="C14" s="13">
        <v>0</v>
      </c>
      <c r="D14" s="13">
        <v>0</v>
      </c>
      <c r="E14" s="13">
        <v>0</v>
      </c>
      <c r="F14" s="13">
        <v>0</v>
      </c>
      <c r="G14" s="14">
        <f t="shared" si="0"/>
        <v>0</v>
      </c>
      <c r="H14" s="14">
        <f>IF(OR(WEEKDAY($B14,2)&gt;5,COUNTIF(FESTIVOS!$A:$A,$B14)&gt;0),0,$H$3*24)</f>
        <v>0.49999999999999989</v>
      </c>
      <c r="I14" s="14">
        <f>IF(OR(WEEKDAY($B14,2)&gt;5,COUNTIF(FESTIVOS!$A:$A,$B14)&gt;0),0,$I$3*24)</f>
        <v>8</v>
      </c>
      <c r="J14" s="14">
        <f>IF(OR(WEEKDAY($B14,2)&gt;5,COUNTIF(FESTIVOS!$A:$A,$B14)&gt;0),"",G14-I14-H14)</f>
        <v>-8.5</v>
      </c>
      <c r="K14" s="14" t="str">
        <f>IF(OR(WEEKDAY($B14,2)&gt;5,COUNTIF(FESTIVOS!$A:$A,$B14)&gt;0),G14,"")</f>
        <v/>
      </c>
      <c r="L14" s="11"/>
    </row>
    <row r="15" spans="1:16" x14ac:dyDescent="0.3">
      <c r="A15" s="11" t="s">
        <v>17</v>
      </c>
      <c r="B15" s="12">
        <v>46183</v>
      </c>
      <c r="C15" s="13">
        <v>0</v>
      </c>
      <c r="D15" s="13">
        <v>0</v>
      </c>
      <c r="E15" s="13">
        <v>0</v>
      </c>
      <c r="F15" s="13">
        <v>0</v>
      </c>
      <c r="G15" s="14">
        <f t="shared" si="0"/>
        <v>0</v>
      </c>
      <c r="H15" s="14">
        <f>IF(OR(WEEKDAY($B15,2)&gt;5,COUNTIF(FESTIVOS!$A:$A,$B15)&gt;0),0,$H$3*24)</f>
        <v>0.49999999999999989</v>
      </c>
      <c r="I15" s="14">
        <f>IF(OR(WEEKDAY($B15,2)&gt;5,COUNTIF(FESTIVOS!$A:$A,$B15)&gt;0),0,$I$3*24)</f>
        <v>8</v>
      </c>
      <c r="J15" s="14">
        <f>IF(OR(WEEKDAY($B15,2)&gt;5,COUNTIF(FESTIVOS!$A:$A,$B15)&gt;0),"",G15-I15-H15)</f>
        <v>-8.5</v>
      </c>
      <c r="K15" s="14" t="str">
        <f>IF(OR(WEEKDAY($B15,2)&gt;5,COUNTIF(FESTIVOS!$A:$A,$B15)&gt;0),G15,"")</f>
        <v/>
      </c>
      <c r="L15" s="11"/>
    </row>
    <row r="16" spans="1:16" x14ac:dyDescent="0.3">
      <c r="A16" s="11" t="s">
        <v>18</v>
      </c>
      <c r="B16" s="12">
        <v>46184</v>
      </c>
      <c r="C16" s="13">
        <v>0</v>
      </c>
      <c r="D16" s="13">
        <v>0</v>
      </c>
      <c r="E16" s="13">
        <v>0</v>
      </c>
      <c r="F16" s="13">
        <v>0</v>
      </c>
      <c r="G16" s="14">
        <f t="shared" si="0"/>
        <v>0</v>
      </c>
      <c r="H16" s="14">
        <f>IF(OR(WEEKDAY($B16,2)&gt;5,COUNTIF(FESTIVOS!$A:$A,$B16)&gt;0),0,$H$3*24)</f>
        <v>0.49999999999999989</v>
      </c>
      <c r="I16" s="14">
        <f>IF(OR(WEEKDAY($B16,2)&gt;5,COUNTIF(FESTIVOS!$A:$A,$B16)&gt;0),0,$I$3*24)</f>
        <v>8</v>
      </c>
      <c r="J16" s="14">
        <f>IF(OR(WEEKDAY($B16,2)&gt;5,COUNTIF(FESTIVOS!$A:$A,$B16)&gt;0),"",G16-I16-H16)</f>
        <v>-8.5</v>
      </c>
      <c r="K16" s="14" t="str">
        <f>IF(OR(WEEKDAY($B16,2)&gt;5,COUNTIF(FESTIVOS!$A:$A,$B16)&gt;0),G16,"")</f>
        <v/>
      </c>
      <c r="L16" s="11"/>
    </row>
    <row r="17" spans="1:12" x14ac:dyDescent="0.3">
      <c r="A17" s="11" t="s">
        <v>19</v>
      </c>
      <c r="B17" s="12">
        <v>46185</v>
      </c>
      <c r="C17" s="13">
        <v>0</v>
      </c>
      <c r="D17" s="13">
        <v>0</v>
      </c>
      <c r="E17" s="13">
        <v>0</v>
      </c>
      <c r="F17" s="13">
        <v>0</v>
      </c>
      <c r="G17" s="14">
        <f t="shared" si="0"/>
        <v>0</v>
      </c>
      <c r="H17" s="14">
        <f>IF(OR(WEEKDAY($B17,2)&gt;5,COUNTIF(FESTIVOS!$A:$A,$B17)&gt;0),0,$H$3*24)</f>
        <v>0.49999999999999989</v>
      </c>
      <c r="I17" s="14">
        <f>IF(OR(WEEKDAY($B17,2)&gt;5,COUNTIF(FESTIVOS!$A:$A,$B17)&gt;0),0,$I$3*24)</f>
        <v>8</v>
      </c>
      <c r="J17" s="14">
        <f>IF(OR(WEEKDAY($B17,2)&gt;5,COUNTIF(FESTIVOS!$A:$A,$B17)&gt;0),"",G17-I17-H17)</f>
        <v>-8.5</v>
      </c>
      <c r="K17" s="14" t="str">
        <f>IF(OR(WEEKDAY($B17,2)&gt;5,COUNTIF(FESTIVOS!$A:$A,$B17)&gt;0),G17,"")</f>
        <v/>
      </c>
      <c r="L17" s="11"/>
    </row>
    <row r="18" spans="1:12" x14ac:dyDescent="0.3">
      <c r="A18" s="15" t="s">
        <v>20</v>
      </c>
      <c r="B18" s="16">
        <v>46186</v>
      </c>
      <c r="C18" s="17">
        <v>0</v>
      </c>
      <c r="D18" s="17">
        <v>0</v>
      </c>
      <c r="E18" s="17">
        <v>0</v>
      </c>
      <c r="F18" s="17">
        <v>0</v>
      </c>
      <c r="G18" s="18">
        <f t="shared" si="0"/>
        <v>0</v>
      </c>
      <c r="H18" s="18">
        <f>IF(OR(WEEKDAY($B18,2)&gt;5,COUNTIF(FESTIVOS!$A:$A,$B18)&gt;0),0,$H$3*24)</f>
        <v>0</v>
      </c>
      <c r="I18" s="18">
        <f>IF(OR(WEEKDAY($B18,2)&gt;5,COUNTIF(FESTIVOS!$A:$A,$B18)&gt;0),0,$I$3*24)</f>
        <v>0</v>
      </c>
      <c r="J18" s="18" t="str">
        <f>IF(OR(WEEKDAY($B18,2)&gt;5,COUNTIF(FESTIVOS!$A:$A,$B18)&gt;0),"",G18-I18-H18)</f>
        <v/>
      </c>
      <c r="K18" s="18">
        <f>IF(OR(WEEKDAY($B18,2)&gt;5,COUNTIF(FESTIVOS!$A:$A,$B18)&gt;0),G18,"")</f>
        <v>0</v>
      </c>
      <c r="L18" s="15"/>
    </row>
    <row r="19" spans="1:12" x14ac:dyDescent="0.3">
      <c r="A19" s="15" t="s">
        <v>21</v>
      </c>
      <c r="B19" s="16">
        <v>46187</v>
      </c>
      <c r="C19" s="17">
        <v>0</v>
      </c>
      <c r="D19" s="17">
        <v>0</v>
      </c>
      <c r="E19" s="17">
        <v>0</v>
      </c>
      <c r="F19" s="17">
        <v>0</v>
      </c>
      <c r="G19" s="18">
        <f t="shared" si="0"/>
        <v>0</v>
      </c>
      <c r="H19" s="18">
        <f>IF(OR(WEEKDAY($B19,2)&gt;5,COUNTIF(FESTIVOS!$A:$A,$B19)&gt;0),0,$H$3*24)</f>
        <v>0</v>
      </c>
      <c r="I19" s="18">
        <f>IF(OR(WEEKDAY($B19,2)&gt;5,COUNTIF(FESTIVOS!$A:$A,$B19)&gt;0),0,$I$3*24)</f>
        <v>0</v>
      </c>
      <c r="J19" s="18" t="str">
        <f>IF(OR(WEEKDAY($B19,2)&gt;5,COUNTIF(FESTIVOS!$A:$A,$B19)&gt;0),"",G19-I19-H19)</f>
        <v/>
      </c>
      <c r="K19" s="18">
        <f>IF(OR(WEEKDAY($B19,2)&gt;5,COUNTIF(FESTIVOS!$A:$A,$B19)&gt;0),G19,"")</f>
        <v>0</v>
      </c>
      <c r="L19" s="15"/>
    </row>
    <row r="20" spans="1:12" x14ac:dyDescent="0.3">
      <c r="A20" s="11" t="s">
        <v>15</v>
      </c>
      <c r="B20" s="12">
        <v>46188</v>
      </c>
      <c r="C20" s="13">
        <v>0</v>
      </c>
      <c r="D20" s="13">
        <v>0</v>
      </c>
      <c r="E20" s="13">
        <v>0</v>
      </c>
      <c r="F20" s="13">
        <v>0</v>
      </c>
      <c r="G20" s="14">
        <f t="shared" si="0"/>
        <v>0</v>
      </c>
      <c r="H20" s="14">
        <f>IF(OR(WEEKDAY($B20,2)&gt;5,COUNTIF(FESTIVOS!$A:$A,$B20)&gt;0),0,$H$3*24)</f>
        <v>0.49999999999999989</v>
      </c>
      <c r="I20" s="14">
        <f>IF(OR(WEEKDAY($B20,2)&gt;5,COUNTIF(FESTIVOS!$A:$A,$B20)&gt;0),0,$I$3*24)</f>
        <v>8</v>
      </c>
      <c r="J20" s="14">
        <f>IF(OR(WEEKDAY($B20,2)&gt;5,COUNTIF(FESTIVOS!$A:$A,$B20)&gt;0),"",G20-I20-H20)</f>
        <v>-8.5</v>
      </c>
      <c r="K20" s="14" t="str">
        <f>IF(OR(WEEKDAY($B20,2)&gt;5,COUNTIF(FESTIVOS!$A:$A,$B20)&gt;0),G20,"")</f>
        <v/>
      </c>
      <c r="L20" s="11"/>
    </row>
    <row r="21" spans="1:12" x14ac:dyDescent="0.3">
      <c r="A21" s="11" t="s">
        <v>16</v>
      </c>
      <c r="B21" s="12">
        <v>46189</v>
      </c>
      <c r="C21" s="13">
        <v>0</v>
      </c>
      <c r="D21" s="13">
        <v>0</v>
      </c>
      <c r="E21" s="13">
        <v>0</v>
      </c>
      <c r="F21" s="13">
        <v>0</v>
      </c>
      <c r="G21" s="14">
        <f t="shared" si="0"/>
        <v>0</v>
      </c>
      <c r="H21" s="14">
        <f>IF(OR(WEEKDAY($B21,2)&gt;5,COUNTIF(FESTIVOS!$A:$A,$B21)&gt;0),0,$H$3*24)</f>
        <v>0.49999999999999989</v>
      </c>
      <c r="I21" s="14">
        <f>IF(OR(WEEKDAY($B21,2)&gt;5,COUNTIF(FESTIVOS!$A:$A,$B21)&gt;0),0,$I$3*24)</f>
        <v>8</v>
      </c>
      <c r="J21" s="14">
        <f>IF(OR(WEEKDAY($B21,2)&gt;5,COUNTIF(FESTIVOS!$A:$A,$B21)&gt;0),"",G21-I21-H21)</f>
        <v>-8.5</v>
      </c>
      <c r="K21" s="14" t="str">
        <f>IF(OR(WEEKDAY($B21,2)&gt;5,COUNTIF(FESTIVOS!$A:$A,$B21)&gt;0),G21,"")</f>
        <v/>
      </c>
      <c r="L21" s="11"/>
    </row>
    <row r="22" spans="1:12" x14ac:dyDescent="0.3">
      <c r="A22" s="11" t="s">
        <v>17</v>
      </c>
      <c r="B22" s="12">
        <v>46190</v>
      </c>
      <c r="C22" s="13">
        <v>0</v>
      </c>
      <c r="D22" s="13">
        <v>0</v>
      </c>
      <c r="E22" s="13">
        <v>0</v>
      </c>
      <c r="F22" s="13">
        <v>0</v>
      </c>
      <c r="G22" s="14">
        <f t="shared" si="0"/>
        <v>0</v>
      </c>
      <c r="H22" s="14">
        <f>IF(OR(WEEKDAY($B22,2)&gt;5,COUNTIF(FESTIVOS!$A:$A,$B22)&gt;0),0,$H$3*24)</f>
        <v>0.49999999999999989</v>
      </c>
      <c r="I22" s="14">
        <f>IF(OR(WEEKDAY($B22,2)&gt;5,COUNTIF(FESTIVOS!$A:$A,$B22)&gt;0),0,$I$3*24)</f>
        <v>8</v>
      </c>
      <c r="J22" s="14">
        <f>IF(OR(WEEKDAY($B22,2)&gt;5,COUNTIF(FESTIVOS!$A:$A,$B22)&gt;0),"",G22-I22-H22)</f>
        <v>-8.5</v>
      </c>
      <c r="K22" s="14" t="str">
        <f>IF(OR(WEEKDAY($B22,2)&gt;5,COUNTIF(FESTIVOS!$A:$A,$B22)&gt;0),G22,"")</f>
        <v/>
      </c>
      <c r="L22" s="11"/>
    </row>
    <row r="23" spans="1:12" x14ac:dyDescent="0.3">
      <c r="A23" s="11" t="s">
        <v>18</v>
      </c>
      <c r="B23" s="12">
        <v>46191</v>
      </c>
      <c r="C23" s="13">
        <v>0</v>
      </c>
      <c r="D23" s="13">
        <v>0</v>
      </c>
      <c r="E23" s="13">
        <v>0</v>
      </c>
      <c r="F23" s="13">
        <v>0</v>
      </c>
      <c r="G23" s="14">
        <f t="shared" si="0"/>
        <v>0</v>
      </c>
      <c r="H23" s="14">
        <f>IF(OR(WEEKDAY($B23,2)&gt;5,COUNTIF(FESTIVOS!$A:$A,$B23)&gt;0),0,$H$3*24)</f>
        <v>0.49999999999999989</v>
      </c>
      <c r="I23" s="14">
        <f>IF(OR(WEEKDAY($B23,2)&gt;5,COUNTIF(FESTIVOS!$A:$A,$B23)&gt;0),0,$I$3*24)</f>
        <v>8</v>
      </c>
      <c r="J23" s="14">
        <f>IF(OR(WEEKDAY($B23,2)&gt;5,COUNTIF(FESTIVOS!$A:$A,$B23)&gt;0),"",G23-I23-H23)</f>
        <v>-8.5</v>
      </c>
      <c r="K23" s="14" t="str">
        <f>IF(OR(WEEKDAY($B23,2)&gt;5,COUNTIF(FESTIVOS!$A:$A,$B23)&gt;0),G23,"")</f>
        <v/>
      </c>
      <c r="L23" s="11"/>
    </row>
    <row r="24" spans="1:12" x14ac:dyDescent="0.3">
      <c r="A24" s="11" t="s">
        <v>19</v>
      </c>
      <c r="B24" s="12">
        <v>46192</v>
      </c>
      <c r="C24" s="13">
        <v>0</v>
      </c>
      <c r="D24" s="13">
        <v>0</v>
      </c>
      <c r="E24" s="13">
        <v>0</v>
      </c>
      <c r="F24" s="13">
        <v>0</v>
      </c>
      <c r="G24" s="14">
        <f t="shared" si="0"/>
        <v>0</v>
      </c>
      <c r="H24" s="14">
        <f>IF(OR(WEEKDAY($B24,2)&gt;5,COUNTIF(FESTIVOS!$A:$A,$B24)&gt;0),0,$H$3*24)</f>
        <v>0.49999999999999989</v>
      </c>
      <c r="I24" s="14">
        <f>IF(OR(WEEKDAY($B24,2)&gt;5,COUNTIF(FESTIVOS!$A:$A,$B24)&gt;0),0,$I$3*24)</f>
        <v>8</v>
      </c>
      <c r="J24" s="14">
        <f>IF(OR(WEEKDAY($B24,2)&gt;5,COUNTIF(FESTIVOS!$A:$A,$B24)&gt;0),"",G24-I24-H24)</f>
        <v>-8.5</v>
      </c>
      <c r="K24" s="14" t="str">
        <f>IF(OR(WEEKDAY($B24,2)&gt;5,COUNTIF(FESTIVOS!$A:$A,$B24)&gt;0),G24,"")</f>
        <v/>
      </c>
      <c r="L24" s="11"/>
    </row>
    <row r="25" spans="1:12" x14ac:dyDescent="0.3">
      <c r="A25" s="15" t="s">
        <v>20</v>
      </c>
      <c r="B25" s="16">
        <v>46193</v>
      </c>
      <c r="C25" s="17">
        <v>0</v>
      </c>
      <c r="D25" s="17">
        <v>0</v>
      </c>
      <c r="E25" s="17">
        <v>0</v>
      </c>
      <c r="F25" s="17">
        <v>0</v>
      </c>
      <c r="G25" s="18">
        <f t="shared" si="0"/>
        <v>0</v>
      </c>
      <c r="H25" s="18">
        <f>IF(OR(WEEKDAY($B25,2)&gt;5,COUNTIF(FESTIVOS!$A:$A,$B25)&gt;0),0,$H$3*24)</f>
        <v>0</v>
      </c>
      <c r="I25" s="18">
        <f>IF(OR(WEEKDAY($B25,2)&gt;5,COUNTIF(FESTIVOS!$A:$A,$B25)&gt;0),0,$I$3*24)</f>
        <v>0</v>
      </c>
      <c r="J25" s="18" t="str">
        <f>IF(OR(WEEKDAY($B25,2)&gt;5,COUNTIF(FESTIVOS!$A:$A,$B25)&gt;0),"",G25-I25-H25)</f>
        <v/>
      </c>
      <c r="K25" s="18">
        <f>IF(OR(WEEKDAY($B25,2)&gt;5,COUNTIF(FESTIVOS!$A:$A,$B25)&gt;0),G25,"")</f>
        <v>0</v>
      </c>
      <c r="L25" s="15"/>
    </row>
    <row r="26" spans="1:12" x14ac:dyDescent="0.3">
      <c r="A26" s="15" t="s">
        <v>21</v>
      </c>
      <c r="B26" s="16">
        <v>46194</v>
      </c>
      <c r="C26" s="17">
        <v>0</v>
      </c>
      <c r="D26" s="17">
        <v>0</v>
      </c>
      <c r="E26" s="17">
        <v>0</v>
      </c>
      <c r="F26" s="17">
        <v>0</v>
      </c>
      <c r="G26" s="18">
        <f t="shared" si="0"/>
        <v>0</v>
      </c>
      <c r="H26" s="18">
        <f>IF(OR(WEEKDAY($B26,2)&gt;5,COUNTIF(FESTIVOS!$A:$A,$B26)&gt;0),0,$H$3*24)</f>
        <v>0</v>
      </c>
      <c r="I26" s="18">
        <f>IF(OR(WEEKDAY($B26,2)&gt;5,COUNTIF(FESTIVOS!$A:$A,$B26)&gt;0),0,$I$3*24)</f>
        <v>0</v>
      </c>
      <c r="J26" s="18" t="str">
        <f>IF(OR(WEEKDAY($B26,2)&gt;5,COUNTIF(FESTIVOS!$A:$A,$B26)&gt;0),"",G26-I26-H26)</f>
        <v/>
      </c>
      <c r="K26" s="18">
        <f>IF(OR(WEEKDAY($B26,2)&gt;5,COUNTIF(FESTIVOS!$A:$A,$B26)&gt;0),G26,"")</f>
        <v>0</v>
      </c>
      <c r="L26" s="15"/>
    </row>
    <row r="27" spans="1:12" x14ac:dyDescent="0.3">
      <c r="A27" s="11" t="s">
        <v>15</v>
      </c>
      <c r="B27" s="12">
        <v>46195</v>
      </c>
      <c r="C27" s="13">
        <v>0</v>
      </c>
      <c r="D27" s="13">
        <v>0</v>
      </c>
      <c r="E27" s="13">
        <v>0</v>
      </c>
      <c r="F27" s="13">
        <v>0</v>
      </c>
      <c r="G27" s="14">
        <f t="shared" si="0"/>
        <v>0</v>
      </c>
      <c r="H27" s="14">
        <f>IF(OR(WEEKDAY($B27,2)&gt;5,COUNTIF(FESTIVOS!$A:$A,$B27)&gt;0),0,$H$3*24)</f>
        <v>0.49999999999999989</v>
      </c>
      <c r="I27" s="14">
        <f>IF(OR(WEEKDAY($B27,2)&gt;5,COUNTIF(FESTIVOS!$A:$A,$B27)&gt;0),0,$I$3*24)</f>
        <v>8</v>
      </c>
      <c r="J27" s="14">
        <f>IF(OR(WEEKDAY($B27,2)&gt;5,COUNTIF(FESTIVOS!$A:$A,$B27)&gt;0),"",G27-I27-H27)</f>
        <v>-8.5</v>
      </c>
      <c r="K27" s="14" t="str">
        <f>IF(OR(WEEKDAY($B27,2)&gt;5,COUNTIF(FESTIVOS!$A:$A,$B27)&gt;0),G27,"")</f>
        <v/>
      </c>
      <c r="L27" s="11"/>
    </row>
    <row r="28" spans="1:12" x14ac:dyDescent="0.3">
      <c r="A28" s="11" t="s">
        <v>16</v>
      </c>
      <c r="B28" s="12">
        <v>46196</v>
      </c>
      <c r="C28" s="13">
        <v>0</v>
      </c>
      <c r="D28" s="13">
        <v>0</v>
      </c>
      <c r="E28" s="13">
        <v>0</v>
      </c>
      <c r="F28" s="13">
        <v>0</v>
      </c>
      <c r="G28" s="14">
        <f t="shared" si="0"/>
        <v>0</v>
      </c>
      <c r="H28" s="14">
        <f>IF(OR(WEEKDAY($B28,2)&gt;5,COUNTIF(FESTIVOS!$A:$A,$B28)&gt;0),0,$H$3*24)</f>
        <v>0.49999999999999989</v>
      </c>
      <c r="I28" s="14">
        <f>IF(OR(WEEKDAY($B28,2)&gt;5,COUNTIF(FESTIVOS!$A:$A,$B28)&gt;0),0,$I$3*24)</f>
        <v>8</v>
      </c>
      <c r="J28" s="14">
        <f>IF(OR(WEEKDAY($B28,2)&gt;5,COUNTIF(FESTIVOS!$A:$A,$B28)&gt;0),"",G28-I28-H28)</f>
        <v>-8.5</v>
      </c>
      <c r="K28" s="14" t="str">
        <f>IF(OR(WEEKDAY($B28,2)&gt;5,COUNTIF(FESTIVOS!$A:$A,$B28)&gt;0),G28,"")</f>
        <v/>
      </c>
      <c r="L28" s="11"/>
    </row>
    <row r="29" spans="1:12" x14ac:dyDescent="0.3">
      <c r="A29" s="11" t="s">
        <v>17</v>
      </c>
      <c r="B29" s="12">
        <v>46197</v>
      </c>
      <c r="C29" s="13">
        <v>0</v>
      </c>
      <c r="D29" s="13">
        <v>0</v>
      </c>
      <c r="E29" s="13">
        <v>0</v>
      </c>
      <c r="F29" s="13">
        <v>0</v>
      </c>
      <c r="G29" s="14">
        <f t="shared" si="0"/>
        <v>0</v>
      </c>
      <c r="H29" s="14">
        <f>IF(OR(WEEKDAY($B29,2)&gt;5,COUNTIF(FESTIVOS!$A:$A,$B29)&gt;0),0,$H$3*24)</f>
        <v>0.49999999999999989</v>
      </c>
      <c r="I29" s="14">
        <f>IF(OR(WEEKDAY($B29,2)&gt;5,COUNTIF(FESTIVOS!$A:$A,$B29)&gt;0),0,$I$3*24)</f>
        <v>8</v>
      </c>
      <c r="J29" s="14">
        <f>IF(OR(WEEKDAY($B29,2)&gt;5,COUNTIF(FESTIVOS!$A:$A,$B29)&gt;0),"",G29-I29-H29)</f>
        <v>-8.5</v>
      </c>
      <c r="K29" s="14" t="str">
        <f>IF(OR(WEEKDAY($B29,2)&gt;5,COUNTIF(FESTIVOS!$A:$A,$B29)&gt;0),G29,"")</f>
        <v/>
      </c>
      <c r="L29" s="11"/>
    </row>
    <row r="30" spans="1:12" x14ac:dyDescent="0.3">
      <c r="A30" s="11" t="s">
        <v>18</v>
      </c>
      <c r="B30" s="12">
        <v>46198</v>
      </c>
      <c r="C30" s="13">
        <v>0</v>
      </c>
      <c r="D30" s="13">
        <v>0</v>
      </c>
      <c r="E30" s="13">
        <v>0</v>
      </c>
      <c r="F30" s="13">
        <v>0</v>
      </c>
      <c r="G30" s="14">
        <f t="shared" si="0"/>
        <v>0</v>
      </c>
      <c r="H30" s="14">
        <f>IF(OR(WEEKDAY($B30,2)&gt;5,COUNTIF(FESTIVOS!$A:$A,$B30)&gt;0),0,$H$3*24)</f>
        <v>0.49999999999999989</v>
      </c>
      <c r="I30" s="14">
        <f>IF(OR(WEEKDAY($B30,2)&gt;5,COUNTIF(FESTIVOS!$A:$A,$B30)&gt;0),0,$I$3*24)</f>
        <v>8</v>
      </c>
      <c r="J30" s="14">
        <f>IF(OR(WEEKDAY($B30,2)&gt;5,COUNTIF(FESTIVOS!$A:$A,$B30)&gt;0),"",G30-I30-H30)</f>
        <v>-8.5</v>
      </c>
      <c r="K30" s="14" t="str">
        <f>IF(OR(WEEKDAY($B30,2)&gt;5,COUNTIF(FESTIVOS!$A:$A,$B30)&gt;0),G30,"")</f>
        <v/>
      </c>
      <c r="L30" s="11"/>
    </row>
    <row r="31" spans="1:12" x14ac:dyDescent="0.3">
      <c r="A31" s="11" t="s">
        <v>19</v>
      </c>
      <c r="B31" s="12">
        <v>46199</v>
      </c>
      <c r="C31" s="13">
        <v>0</v>
      </c>
      <c r="D31" s="13">
        <v>0</v>
      </c>
      <c r="E31" s="13">
        <v>0</v>
      </c>
      <c r="F31" s="13">
        <v>0</v>
      </c>
      <c r="G31" s="14">
        <f t="shared" si="0"/>
        <v>0</v>
      </c>
      <c r="H31" s="14">
        <f>IF(OR(WEEKDAY($B31,2)&gt;5,COUNTIF(FESTIVOS!$A:$A,$B31)&gt;0),0,$H$3*24)</f>
        <v>0.49999999999999989</v>
      </c>
      <c r="I31" s="14">
        <f>IF(OR(WEEKDAY($B31,2)&gt;5,COUNTIF(FESTIVOS!$A:$A,$B31)&gt;0),0,$I$3*24)</f>
        <v>8</v>
      </c>
      <c r="J31" s="14">
        <f>IF(OR(WEEKDAY($B31,2)&gt;5,COUNTIF(FESTIVOS!$A:$A,$B31)&gt;0),"",G31-I31-H31)</f>
        <v>-8.5</v>
      </c>
      <c r="K31" s="14" t="str">
        <f>IF(OR(WEEKDAY($B31,2)&gt;5,COUNTIF(FESTIVOS!$A:$A,$B31)&gt;0),G31,"")</f>
        <v/>
      </c>
      <c r="L31" s="11"/>
    </row>
    <row r="32" spans="1:12" x14ac:dyDescent="0.3">
      <c r="A32" s="15" t="s">
        <v>20</v>
      </c>
      <c r="B32" s="16">
        <v>46200</v>
      </c>
      <c r="C32" s="17">
        <v>0</v>
      </c>
      <c r="D32" s="17">
        <v>0</v>
      </c>
      <c r="E32" s="17">
        <v>0</v>
      </c>
      <c r="F32" s="17">
        <v>0</v>
      </c>
      <c r="G32" s="18">
        <f t="shared" si="0"/>
        <v>0</v>
      </c>
      <c r="H32" s="18">
        <f>IF(OR(WEEKDAY($B32,2)&gt;5,COUNTIF(FESTIVOS!$A:$A,$B32)&gt;0),0,$H$3*24)</f>
        <v>0</v>
      </c>
      <c r="I32" s="18">
        <f>IF(OR(WEEKDAY($B32,2)&gt;5,COUNTIF(FESTIVOS!$A:$A,$B32)&gt;0),0,$I$3*24)</f>
        <v>0</v>
      </c>
      <c r="J32" s="18" t="str">
        <f>IF(OR(WEEKDAY($B32,2)&gt;5,COUNTIF(FESTIVOS!$A:$A,$B32)&gt;0),"",G32-I32-H32)</f>
        <v/>
      </c>
      <c r="K32" s="18">
        <f>IF(OR(WEEKDAY($B32,2)&gt;5,COUNTIF(FESTIVOS!$A:$A,$B32)&gt;0),G32,"")</f>
        <v>0</v>
      </c>
      <c r="L32" s="15"/>
    </row>
    <row r="33" spans="1:12" x14ac:dyDescent="0.3">
      <c r="A33" s="15" t="s">
        <v>21</v>
      </c>
      <c r="B33" s="16">
        <v>46201</v>
      </c>
      <c r="C33" s="17">
        <v>0</v>
      </c>
      <c r="D33" s="17">
        <v>0</v>
      </c>
      <c r="E33" s="17">
        <v>0</v>
      </c>
      <c r="F33" s="17">
        <v>0</v>
      </c>
      <c r="G33" s="18">
        <f t="shared" si="0"/>
        <v>0</v>
      </c>
      <c r="H33" s="18">
        <f>IF(OR(WEEKDAY($B33,2)&gt;5,COUNTIF(FESTIVOS!$A:$A,$B33)&gt;0),0,$H$3*24)</f>
        <v>0</v>
      </c>
      <c r="I33" s="18">
        <f>IF(OR(WEEKDAY($B33,2)&gt;5,COUNTIF(FESTIVOS!$A:$A,$B33)&gt;0),0,$I$3*24)</f>
        <v>0</v>
      </c>
      <c r="J33" s="18" t="str">
        <f>IF(OR(WEEKDAY($B33,2)&gt;5,COUNTIF(FESTIVOS!$A:$A,$B33)&gt;0),"",G33-I33-H33)</f>
        <v/>
      </c>
      <c r="K33" s="18">
        <f>IF(OR(WEEKDAY($B33,2)&gt;5,COUNTIF(FESTIVOS!$A:$A,$B33)&gt;0),G33,"")</f>
        <v>0</v>
      </c>
      <c r="L33" s="15"/>
    </row>
    <row r="34" spans="1:12" x14ac:dyDescent="0.3">
      <c r="A34" s="11" t="s">
        <v>15</v>
      </c>
      <c r="B34" s="12">
        <v>46202</v>
      </c>
      <c r="C34" s="13">
        <v>0</v>
      </c>
      <c r="D34" s="13">
        <v>0</v>
      </c>
      <c r="E34" s="13">
        <v>0</v>
      </c>
      <c r="F34" s="13">
        <v>0</v>
      </c>
      <c r="G34" s="14">
        <f t="shared" si="0"/>
        <v>0</v>
      </c>
      <c r="H34" s="14">
        <f>IF(OR(WEEKDAY($B34,2)&gt;5,COUNTIF(FESTIVOS!$A:$A,$B34)&gt;0),0,$H$3*24)</f>
        <v>0.49999999999999989</v>
      </c>
      <c r="I34" s="14">
        <f>IF(OR(WEEKDAY($B34,2)&gt;5,COUNTIF(FESTIVOS!$A:$A,$B34)&gt;0),0,$I$3*24)</f>
        <v>8</v>
      </c>
      <c r="J34" s="14">
        <f>IF(OR(WEEKDAY($B34,2)&gt;5,COUNTIF(FESTIVOS!$A:$A,$B34)&gt;0),"",G34-I34-H34)</f>
        <v>-8.5</v>
      </c>
      <c r="K34" s="14" t="str">
        <f>IF(OR(WEEKDAY($B34,2)&gt;5,COUNTIF(FESTIVOS!$A:$A,$B34)&gt;0),G34,"")</f>
        <v/>
      </c>
      <c r="L34" s="11"/>
    </row>
    <row r="35" spans="1:12" x14ac:dyDescent="0.3">
      <c r="A35" s="11" t="s">
        <v>16</v>
      </c>
      <c r="B35" s="12">
        <v>46203</v>
      </c>
      <c r="C35" s="13">
        <v>0</v>
      </c>
      <c r="D35" s="13">
        <v>0</v>
      </c>
      <c r="E35" s="13">
        <v>0</v>
      </c>
      <c r="F35" s="13">
        <v>0</v>
      </c>
      <c r="G35" s="14">
        <f t="shared" si="0"/>
        <v>0</v>
      </c>
      <c r="H35" s="14">
        <f>IF(OR(WEEKDAY($B35,2)&gt;5,COUNTIF(FESTIVOS!$A:$A,$B35)&gt;0),0,$H$3*24)</f>
        <v>0.49999999999999989</v>
      </c>
      <c r="I35" s="14">
        <f>IF(OR(WEEKDAY($B35,2)&gt;5,COUNTIF(FESTIVOS!$A:$A,$B35)&gt;0),0,$I$3*24)</f>
        <v>8</v>
      </c>
      <c r="J35" s="14">
        <f>IF(OR(WEEKDAY($B35,2)&gt;5,COUNTIF(FESTIVOS!$A:$A,$B35)&gt;0),"",G35-I35-H35)</f>
        <v>-8.5</v>
      </c>
      <c r="K35" s="14" t="str">
        <f>IF(OR(WEEKDAY($B35,2)&gt;5,COUNTIF(FESTIVOS!$A:$A,$B35)&gt;0),G35,"")</f>
        <v/>
      </c>
      <c r="L35" s="11"/>
    </row>
  </sheetData>
  <mergeCells count="1">
    <mergeCell ref="C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6"/>
  <sheetViews>
    <sheetView workbookViewId="0">
      <selection activeCell="F6" sqref="F6"/>
    </sheetView>
  </sheetViews>
  <sheetFormatPr baseColWidth="10" defaultColWidth="9.140625" defaultRowHeight="16.5" x14ac:dyDescent="0.3"/>
  <cols>
    <col min="1" max="1" width="4.7109375" style="2" bestFit="1" customWidth="1"/>
    <col min="2" max="2" width="13.85546875" style="2" bestFit="1" customWidth="1"/>
    <col min="3" max="3" width="11.85546875" style="2" bestFit="1" customWidth="1"/>
    <col min="4" max="4" width="9.7109375" style="2" bestFit="1" customWidth="1"/>
    <col min="5" max="5" width="11.85546875" style="2" bestFit="1" customWidth="1"/>
    <col min="6" max="7" width="9.7109375" style="2" bestFit="1" customWidth="1"/>
    <col min="8" max="8" width="14.7109375" style="2" bestFit="1" customWidth="1"/>
    <col min="9" max="9" width="8" style="2" customWidth="1"/>
    <col min="10" max="10" width="9.28515625" style="2" bestFit="1" customWidth="1"/>
    <col min="11" max="11" width="17.5703125" style="2" bestFit="1" customWidth="1"/>
    <col min="12" max="12" width="20.140625" style="2" bestFit="1" customWidth="1"/>
    <col min="13" max="13" width="9.140625" style="2"/>
    <col min="14" max="14" width="11.5703125" style="2" bestFit="1" customWidth="1"/>
    <col min="15" max="15" width="22.85546875" style="2" bestFit="1" customWidth="1"/>
    <col min="16" max="16" width="11.5703125" style="2" bestFit="1" customWidth="1"/>
    <col min="17" max="16384" width="9.140625" style="2"/>
  </cols>
  <sheetData>
    <row r="1" spans="1:16" ht="18" x14ac:dyDescent="0.35">
      <c r="N1" s="3">
        <v>9</v>
      </c>
      <c r="O1" s="3">
        <v>10</v>
      </c>
    </row>
    <row r="2" spans="1:16" ht="18" x14ac:dyDescent="0.35">
      <c r="C2" s="4" t="s">
        <v>0</v>
      </c>
      <c r="D2" s="5"/>
      <c r="F2" s="6" t="s">
        <v>1</v>
      </c>
      <c r="N2" s="6" t="s">
        <v>2</v>
      </c>
      <c r="O2" s="6" t="s">
        <v>3</v>
      </c>
    </row>
    <row r="3" spans="1:16" ht="18" x14ac:dyDescent="0.35">
      <c r="F3" s="6" t="s">
        <v>28</v>
      </c>
      <c r="H3" s="7">
        <v>2.0833333333333329E-2</v>
      </c>
      <c r="I3" s="7">
        <v>0.33333333333333331</v>
      </c>
      <c r="N3" s="8" t="e">
        <f>SUMPRODUCT((J6:J36&gt;0)*(J6:J36))</f>
        <v>#VALUE!</v>
      </c>
      <c r="O3" s="8">
        <f>SUM(K6:K36)</f>
        <v>0</v>
      </c>
    </row>
    <row r="4" spans="1:16" ht="18" x14ac:dyDescent="0.35">
      <c r="P4" s="6" t="s">
        <v>5</v>
      </c>
    </row>
    <row r="5" spans="1:16" ht="18" x14ac:dyDescent="0.35">
      <c r="A5" s="9" t="s">
        <v>6</v>
      </c>
      <c r="B5" s="9" t="s">
        <v>7</v>
      </c>
      <c r="C5" s="9" t="s">
        <v>8</v>
      </c>
      <c r="D5" s="9" t="s">
        <v>9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2</v>
      </c>
      <c r="K5" s="9" t="s">
        <v>13</v>
      </c>
      <c r="L5" s="9" t="s">
        <v>14</v>
      </c>
      <c r="N5" s="10" t="e">
        <f>N3*N1</f>
        <v>#VALUE!</v>
      </c>
      <c r="O5" s="10">
        <f>O3*O1</f>
        <v>0</v>
      </c>
      <c r="P5" s="10" t="e">
        <f>N5+O5</f>
        <v>#VALUE!</v>
      </c>
    </row>
    <row r="6" spans="1:16" x14ac:dyDescent="0.3">
      <c r="A6" s="11" t="s">
        <v>17</v>
      </c>
      <c r="B6" s="12">
        <v>46204</v>
      </c>
      <c r="C6" s="13">
        <v>0</v>
      </c>
      <c r="D6" s="13">
        <v>0</v>
      </c>
      <c r="E6" s="13">
        <v>0</v>
      </c>
      <c r="F6" s="13">
        <v>0</v>
      </c>
      <c r="G6" s="14">
        <f t="shared" ref="G6:G36" si="0">IF(AND(C6="",D6="",E6="",F6=""),0,(F6-E6+D6-C6)*24)</f>
        <v>0</v>
      </c>
      <c r="H6" s="14">
        <f>IF(OR(WEEKDAY($B6,2)&gt;5,COUNTIF(FESTIVOS!$A:$A,$B6)&gt;0),0,$H$3*24)</f>
        <v>0.49999999999999989</v>
      </c>
      <c r="I6" s="14">
        <f>IF(OR(WEEKDAY($B6,2)&gt;5,COUNTIF(FESTIVOS!$A:$A,$B6)&gt;0),0,$I$3*24)</f>
        <v>8</v>
      </c>
      <c r="J6" s="14">
        <f>IF(OR(WEEKDAY($B6,2)&gt;5,COUNTIF(FESTIVOS!$A:$A,$B6)&gt;0),"",G6-I6-H6)</f>
        <v>-8.5</v>
      </c>
      <c r="K6" s="14" t="str">
        <f>IF(OR(WEEKDAY($B6,2)&gt;5,COUNTIF(FESTIVOS!$A:$A,$B6)&gt;0),G6,"")</f>
        <v/>
      </c>
      <c r="L6" s="11"/>
    </row>
    <row r="7" spans="1:16" x14ac:dyDescent="0.3">
      <c r="A7" s="11" t="s">
        <v>18</v>
      </c>
      <c r="B7" s="12">
        <v>46205</v>
      </c>
      <c r="C7" s="13">
        <v>0</v>
      </c>
      <c r="D7" s="13">
        <v>0</v>
      </c>
      <c r="E7" s="13">
        <v>0</v>
      </c>
      <c r="F7" s="13">
        <v>0</v>
      </c>
      <c r="G7" s="14">
        <f t="shared" si="0"/>
        <v>0</v>
      </c>
      <c r="H7" s="14">
        <f>IF(OR(WEEKDAY($B7,2)&gt;5,COUNTIF(FESTIVOS!$A:$A,$B7)&gt;0),0,$H$3*24)</f>
        <v>0.49999999999999989</v>
      </c>
      <c r="I7" s="14">
        <f>IF(OR(WEEKDAY($B7,2)&gt;5,COUNTIF(FESTIVOS!$A:$A,$B7)&gt;0),0,$I$3*24)</f>
        <v>8</v>
      </c>
      <c r="J7" s="14">
        <f>IF(OR(WEEKDAY($B7,2)&gt;5,COUNTIF(FESTIVOS!$A:$A,$B7)&gt;0),"",G7-I7-H7)</f>
        <v>-8.5</v>
      </c>
      <c r="K7" s="14" t="str">
        <f>IF(OR(WEEKDAY($B7,2)&gt;5,COUNTIF(FESTIVOS!$A:$A,$B7)&gt;0),G7,"")</f>
        <v/>
      </c>
      <c r="L7" s="11"/>
    </row>
    <row r="8" spans="1:16" x14ac:dyDescent="0.3">
      <c r="A8" s="11" t="s">
        <v>19</v>
      </c>
      <c r="B8" s="12">
        <v>46206</v>
      </c>
      <c r="C8" s="13">
        <v>0</v>
      </c>
      <c r="D8" s="13">
        <v>0</v>
      </c>
      <c r="E8" s="13">
        <v>0</v>
      </c>
      <c r="F8" s="13">
        <v>0</v>
      </c>
      <c r="G8" s="14">
        <f t="shared" si="0"/>
        <v>0</v>
      </c>
      <c r="H8" s="14">
        <f>IF(OR(WEEKDAY($B8,2)&gt;5,COUNTIF(FESTIVOS!$A:$A,$B8)&gt;0),0,$H$3*24)</f>
        <v>0.49999999999999989</v>
      </c>
      <c r="I8" s="14">
        <f>IF(OR(WEEKDAY($B8,2)&gt;5,COUNTIF(FESTIVOS!$A:$A,$B8)&gt;0),0,$I$3*24)</f>
        <v>8</v>
      </c>
      <c r="J8" s="14">
        <f>IF(OR(WEEKDAY($B8,2)&gt;5,COUNTIF(FESTIVOS!$A:$A,$B8)&gt;0),"",G8-I8-H8)</f>
        <v>-8.5</v>
      </c>
      <c r="K8" s="14" t="str">
        <f>IF(OR(WEEKDAY($B8,2)&gt;5,COUNTIF(FESTIVOS!$A:$A,$B8)&gt;0),G8,"")</f>
        <v/>
      </c>
      <c r="L8" s="11"/>
    </row>
    <row r="9" spans="1:16" x14ac:dyDescent="0.3">
      <c r="A9" s="15" t="s">
        <v>20</v>
      </c>
      <c r="B9" s="16">
        <v>46207</v>
      </c>
      <c r="C9" s="17">
        <v>0</v>
      </c>
      <c r="D9" s="17">
        <v>0</v>
      </c>
      <c r="E9" s="17">
        <v>0</v>
      </c>
      <c r="F9" s="17">
        <v>0</v>
      </c>
      <c r="G9" s="18">
        <f t="shared" si="0"/>
        <v>0</v>
      </c>
      <c r="H9" s="18">
        <f>IF(OR(WEEKDAY($B9,2)&gt;5,COUNTIF(FESTIVOS!$A:$A,$B9)&gt;0),0,$H$3*24)</f>
        <v>0</v>
      </c>
      <c r="I9" s="18">
        <f>IF(OR(WEEKDAY($B9,2)&gt;5,COUNTIF(FESTIVOS!$A:$A,$B9)&gt;0),0,$I$3*24)</f>
        <v>0</v>
      </c>
      <c r="J9" s="18" t="str">
        <f>IF(OR(WEEKDAY($B9,2)&gt;5,COUNTIF(FESTIVOS!$A:$A,$B9)&gt;0),"",G9-I9-H9)</f>
        <v/>
      </c>
      <c r="K9" s="18">
        <f>IF(OR(WEEKDAY($B9,2)&gt;5,COUNTIF(FESTIVOS!$A:$A,$B9)&gt;0),G9,"")</f>
        <v>0</v>
      </c>
      <c r="L9" s="15"/>
    </row>
    <row r="10" spans="1:16" x14ac:dyDescent="0.3">
      <c r="A10" s="15" t="s">
        <v>21</v>
      </c>
      <c r="B10" s="16">
        <v>46208</v>
      </c>
      <c r="C10" s="17">
        <v>0</v>
      </c>
      <c r="D10" s="17">
        <v>0</v>
      </c>
      <c r="E10" s="17">
        <v>0</v>
      </c>
      <c r="F10" s="17">
        <v>0</v>
      </c>
      <c r="G10" s="18">
        <f t="shared" si="0"/>
        <v>0</v>
      </c>
      <c r="H10" s="18">
        <f>IF(OR(WEEKDAY($B10,2)&gt;5,COUNTIF(FESTIVOS!$A:$A,$B10)&gt;0),0,$H$3*24)</f>
        <v>0</v>
      </c>
      <c r="I10" s="18">
        <f>IF(OR(WEEKDAY($B10,2)&gt;5,COUNTIF(FESTIVOS!$A:$A,$B10)&gt;0),0,$I$3*24)</f>
        <v>0</v>
      </c>
      <c r="J10" s="18" t="str">
        <f>IF(OR(WEEKDAY($B10,2)&gt;5,COUNTIF(FESTIVOS!$A:$A,$B10)&gt;0),"",G10-I10-H10)</f>
        <v/>
      </c>
      <c r="K10" s="18">
        <f>IF(OR(WEEKDAY($B10,2)&gt;5,COUNTIF(FESTIVOS!$A:$A,$B10)&gt;0),G10,"")</f>
        <v>0</v>
      </c>
      <c r="L10" s="15"/>
    </row>
    <row r="11" spans="1:16" x14ac:dyDescent="0.3">
      <c r="A11" s="11" t="s">
        <v>15</v>
      </c>
      <c r="B11" s="12">
        <v>46209</v>
      </c>
      <c r="C11" s="13">
        <v>0</v>
      </c>
      <c r="D11" s="13">
        <v>0</v>
      </c>
      <c r="E11" s="13">
        <v>0</v>
      </c>
      <c r="F11" s="13">
        <v>0</v>
      </c>
      <c r="G11" s="14">
        <f t="shared" si="0"/>
        <v>0</v>
      </c>
      <c r="H11" s="14">
        <f>IF(OR(WEEKDAY($B11,2)&gt;5,COUNTIF(FESTIVOS!$A:$A,$B11)&gt;0),0,$H$3*24)</f>
        <v>0.49999999999999989</v>
      </c>
      <c r="I11" s="14">
        <f>IF(OR(WEEKDAY($B11,2)&gt;5,COUNTIF(FESTIVOS!$A:$A,$B11)&gt;0),0,$I$3*24)</f>
        <v>8</v>
      </c>
      <c r="J11" s="14">
        <f>IF(OR(WEEKDAY($B11,2)&gt;5,COUNTIF(FESTIVOS!$A:$A,$B11)&gt;0),"",G11-I11-H11)</f>
        <v>-8.5</v>
      </c>
      <c r="K11" s="14" t="str">
        <f>IF(OR(WEEKDAY($B11,2)&gt;5,COUNTIF(FESTIVOS!$A:$A,$B11)&gt;0),G11,"")</f>
        <v/>
      </c>
      <c r="L11" s="11"/>
    </row>
    <row r="12" spans="1:16" x14ac:dyDescent="0.3">
      <c r="A12" s="11" t="s">
        <v>16</v>
      </c>
      <c r="B12" s="12">
        <v>46210</v>
      </c>
      <c r="C12" s="13">
        <v>0</v>
      </c>
      <c r="D12" s="13">
        <v>0</v>
      </c>
      <c r="E12" s="13">
        <v>0</v>
      </c>
      <c r="F12" s="13">
        <v>0</v>
      </c>
      <c r="G12" s="14">
        <f t="shared" si="0"/>
        <v>0</v>
      </c>
      <c r="H12" s="14">
        <f>IF(OR(WEEKDAY($B12,2)&gt;5,COUNTIF(FESTIVOS!$A:$A,$B12)&gt;0),0,$H$3*24)</f>
        <v>0.49999999999999989</v>
      </c>
      <c r="I12" s="14">
        <f>IF(OR(WEEKDAY($B12,2)&gt;5,COUNTIF(FESTIVOS!$A:$A,$B12)&gt;0),0,$I$3*24)</f>
        <v>8</v>
      </c>
      <c r="J12" s="14">
        <f>IF(OR(WEEKDAY($B12,2)&gt;5,COUNTIF(FESTIVOS!$A:$A,$B12)&gt;0),"",G12-I12-H12)</f>
        <v>-8.5</v>
      </c>
      <c r="K12" s="14" t="str">
        <f>IF(OR(WEEKDAY($B12,2)&gt;5,COUNTIF(FESTIVOS!$A:$A,$B12)&gt;0),G12,"")</f>
        <v/>
      </c>
      <c r="L12" s="11"/>
    </row>
    <row r="13" spans="1:16" x14ac:dyDescent="0.3">
      <c r="A13" s="11" t="s">
        <v>17</v>
      </c>
      <c r="B13" s="12">
        <v>46211</v>
      </c>
      <c r="C13" s="13">
        <v>0</v>
      </c>
      <c r="D13" s="13">
        <v>0</v>
      </c>
      <c r="E13" s="13">
        <v>0</v>
      </c>
      <c r="F13" s="13">
        <v>0</v>
      </c>
      <c r="G13" s="14">
        <f t="shared" si="0"/>
        <v>0</v>
      </c>
      <c r="H13" s="14">
        <f>IF(OR(WEEKDAY($B13,2)&gt;5,COUNTIF(FESTIVOS!$A:$A,$B13)&gt;0),0,$H$3*24)</f>
        <v>0.49999999999999989</v>
      </c>
      <c r="I13" s="14">
        <f>IF(OR(WEEKDAY($B13,2)&gt;5,COUNTIF(FESTIVOS!$A:$A,$B13)&gt;0),0,$I$3*24)</f>
        <v>8</v>
      </c>
      <c r="J13" s="14">
        <f>IF(OR(WEEKDAY($B13,2)&gt;5,COUNTIF(FESTIVOS!$A:$A,$B13)&gt;0),"",G13-I13-H13)</f>
        <v>-8.5</v>
      </c>
      <c r="K13" s="14" t="str">
        <f>IF(OR(WEEKDAY($B13,2)&gt;5,COUNTIF(FESTIVOS!$A:$A,$B13)&gt;0),G13,"")</f>
        <v/>
      </c>
      <c r="L13" s="11"/>
    </row>
    <row r="14" spans="1:16" x14ac:dyDescent="0.3">
      <c r="A14" s="11" t="s">
        <v>18</v>
      </c>
      <c r="B14" s="12">
        <v>46212</v>
      </c>
      <c r="C14" s="13">
        <v>0</v>
      </c>
      <c r="D14" s="13">
        <v>0</v>
      </c>
      <c r="E14" s="13">
        <v>0</v>
      </c>
      <c r="F14" s="13">
        <v>0</v>
      </c>
      <c r="G14" s="14">
        <f t="shared" si="0"/>
        <v>0</v>
      </c>
      <c r="H14" s="14">
        <f>IF(OR(WEEKDAY($B14,2)&gt;5,COUNTIF(FESTIVOS!$A:$A,$B14)&gt;0),0,$H$3*24)</f>
        <v>0.49999999999999989</v>
      </c>
      <c r="I14" s="14">
        <f>IF(OR(WEEKDAY($B14,2)&gt;5,COUNTIF(FESTIVOS!$A:$A,$B14)&gt;0),0,$I$3*24)</f>
        <v>8</v>
      </c>
      <c r="J14" s="14">
        <f>IF(OR(WEEKDAY($B14,2)&gt;5,COUNTIF(FESTIVOS!$A:$A,$B14)&gt;0),"",G14-I14-H14)</f>
        <v>-8.5</v>
      </c>
      <c r="K14" s="14" t="str">
        <f>IF(OR(WEEKDAY($B14,2)&gt;5,COUNTIF(FESTIVOS!$A:$A,$B14)&gt;0),G14,"")</f>
        <v/>
      </c>
      <c r="L14" s="11"/>
    </row>
    <row r="15" spans="1:16" x14ac:dyDescent="0.3">
      <c r="A15" s="11" t="s">
        <v>19</v>
      </c>
      <c r="B15" s="12">
        <v>46213</v>
      </c>
      <c r="C15" s="13">
        <v>0</v>
      </c>
      <c r="D15" s="13">
        <v>0</v>
      </c>
      <c r="E15" s="13">
        <v>0</v>
      </c>
      <c r="F15" s="13">
        <v>0</v>
      </c>
      <c r="G15" s="14">
        <f t="shared" si="0"/>
        <v>0</v>
      </c>
      <c r="H15" s="14">
        <f>IF(OR(WEEKDAY($B15,2)&gt;5,COUNTIF(FESTIVOS!$A:$A,$B15)&gt;0),0,$H$3*24)</f>
        <v>0.49999999999999989</v>
      </c>
      <c r="I15" s="14">
        <f>IF(OR(WEEKDAY($B15,2)&gt;5,COUNTIF(FESTIVOS!$A:$A,$B15)&gt;0),0,$I$3*24)</f>
        <v>8</v>
      </c>
      <c r="J15" s="14">
        <f>IF(OR(WEEKDAY($B15,2)&gt;5,COUNTIF(FESTIVOS!$A:$A,$B15)&gt;0),"",G15-I15-H15)</f>
        <v>-8.5</v>
      </c>
      <c r="K15" s="14" t="str">
        <f>IF(OR(WEEKDAY($B15,2)&gt;5,COUNTIF(FESTIVOS!$A:$A,$B15)&gt;0),G15,"")</f>
        <v/>
      </c>
      <c r="L15" s="11"/>
    </row>
    <row r="16" spans="1:16" x14ac:dyDescent="0.3">
      <c r="A16" s="15" t="s">
        <v>20</v>
      </c>
      <c r="B16" s="16">
        <v>46214</v>
      </c>
      <c r="C16" s="17">
        <v>0</v>
      </c>
      <c r="D16" s="17">
        <v>0</v>
      </c>
      <c r="E16" s="17">
        <v>0</v>
      </c>
      <c r="F16" s="17">
        <v>0</v>
      </c>
      <c r="G16" s="18">
        <f t="shared" si="0"/>
        <v>0</v>
      </c>
      <c r="H16" s="18">
        <f>IF(OR(WEEKDAY($B16,2)&gt;5,COUNTIF(FESTIVOS!$A:$A,$B16)&gt;0),0,$H$3*24)</f>
        <v>0</v>
      </c>
      <c r="I16" s="18">
        <f>IF(OR(WEEKDAY($B16,2)&gt;5,COUNTIF(FESTIVOS!$A:$A,$B16)&gt;0),0,$I$3*24)</f>
        <v>0</v>
      </c>
      <c r="J16" s="18" t="str">
        <f>IF(OR(WEEKDAY($B16,2)&gt;5,COUNTIF(FESTIVOS!$A:$A,$B16)&gt;0),"",G16-I16-H16)</f>
        <v/>
      </c>
      <c r="K16" s="18">
        <f>IF(OR(WEEKDAY($B16,2)&gt;5,COUNTIF(FESTIVOS!$A:$A,$B16)&gt;0),G16,"")</f>
        <v>0</v>
      </c>
      <c r="L16" s="15"/>
    </row>
    <row r="17" spans="1:12" x14ac:dyDescent="0.3">
      <c r="A17" s="15" t="s">
        <v>21</v>
      </c>
      <c r="B17" s="16">
        <v>46215</v>
      </c>
      <c r="C17" s="17">
        <v>0</v>
      </c>
      <c r="D17" s="17">
        <v>0</v>
      </c>
      <c r="E17" s="17">
        <v>0</v>
      </c>
      <c r="F17" s="17">
        <v>0</v>
      </c>
      <c r="G17" s="18">
        <f t="shared" si="0"/>
        <v>0</v>
      </c>
      <c r="H17" s="18">
        <f>IF(OR(WEEKDAY($B17,2)&gt;5,COUNTIF(FESTIVOS!$A:$A,$B17)&gt;0),0,$H$3*24)</f>
        <v>0</v>
      </c>
      <c r="I17" s="18">
        <f>IF(OR(WEEKDAY($B17,2)&gt;5,COUNTIF(FESTIVOS!$A:$A,$B17)&gt;0),0,$I$3*24)</f>
        <v>0</v>
      </c>
      <c r="J17" s="18" t="str">
        <f>IF(OR(WEEKDAY($B17,2)&gt;5,COUNTIF(FESTIVOS!$A:$A,$B17)&gt;0),"",G17-I17-H17)</f>
        <v/>
      </c>
      <c r="K17" s="18">
        <f>IF(OR(WEEKDAY($B17,2)&gt;5,COUNTIF(FESTIVOS!$A:$A,$B17)&gt;0),G17,"")</f>
        <v>0</v>
      </c>
      <c r="L17" s="15"/>
    </row>
    <row r="18" spans="1:12" x14ac:dyDescent="0.3">
      <c r="A18" s="11" t="s">
        <v>15</v>
      </c>
      <c r="B18" s="12">
        <v>46216</v>
      </c>
      <c r="C18" s="13">
        <v>0</v>
      </c>
      <c r="D18" s="13">
        <v>0</v>
      </c>
      <c r="E18" s="13">
        <v>0</v>
      </c>
      <c r="F18" s="13">
        <v>0</v>
      </c>
      <c r="G18" s="14">
        <f t="shared" si="0"/>
        <v>0</v>
      </c>
      <c r="H18" s="14">
        <f>IF(OR(WEEKDAY($B18,2)&gt;5,COUNTIF(FESTIVOS!$A:$A,$B18)&gt;0),0,$H$3*24)</f>
        <v>0.49999999999999989</v>
      </c>
      <c r="I18" s="14">
        <f>IF(OR(WEEKDAY($B18,2)&gt;5,COUNTIF(FESTIVOS!$A:$A,$B18)&gt;0),0,$I$3*24)</f>
        <v>8</v>
      </c>
      <c r="J18" s="14">
        <f>IF(OR(WEEKDAY($B18,2)&gt;5,COUNTIF(FESTIVOS!$A:$A,$B18)&gt;0),"",G18-I18-H18)</f>
        <v>-8.5</v>
      </c>
      <c r="K18" s="14" t="str">
        <f>IF(OR(WEEKDAY($B18,2)&gt;5,COUNTIF(FESTIVOS!$A:$A,$B18)&gt;0),G18,"")</f>
        <v/>
      </c>
      <c r="L18" s="11"/>
    </row>
    <row r="19" spans="1:12" x14ac:dyDescent="0.3">
      <c r="A19" s="11" t="s">
        <v>16</v>
      </c>
      <c r="B19" s="12">
        <v>46217</v>
      </c>
      <c r="C19" s="13">
        <v>0</v>
      </c>
      <c r="D19" s="13">
        <v>0</v>
      </c>
      <c r="E19" s="13">
        <v>0</v>
      </c>
      <c r="F19" s="13">
        <v>0</v>
      </c>
      <c r="G19" s="14">
        <f t="shared" si="0"/>
        <v>0</v>
      </c>
      <c r="H19" s="14">
        <f>IF(OR(WEEKDAY($B19,2)&gt;5,COUNTIF(FESTIVOS!$A:$A,$B19)&gt;0),0,$H$3*24)</f>
        <v>0.49999999999999989</v>
      </c>
      <c r="I19" s="14">
        <f>IF(OR(WEEKDAY($B19,2)&gt;5,COUNTIF(FESTIVOS!$A:$A,$B19)&gt;0),0,$I$3*24)</f>
        <v>8</v>
      </c>
      <c r="J19" s="14">
        <f>IF(OR(WEEKDAY($B19,2)&gt;5,COUNTIF(FESTIVOS!$A:$A,$B19)&gt;0),"",G19-I19-H19)</f>
        <v>-8.5</v>
      </c>
      <c r="K19" s="14" t="str">
        <f>IF(OR(WEEKDAY($B19,2)&gt;5,COUNTIF(FESTIVOS!$A:$A,$B19)&gt;0),G19,"")</f>
        <v/>
      </c>
      <c r="L19" s="11"/>
    </row>
    <row r="20" spans="1:12" x14ac:dyDescent="0.3">
      <c r="A20" s="11" t="s">
        <v>17</v>
      </c>
      <c r="B20" s="12">
        <v>46218</v>
      </c>
      <c r="C20" s="13">
        <v>0</v>
      </c>
      <c r="D20" s="13">
        <v>0</v>
      </c>
      <c r="E20" s="13">
        <v>0</v>
      </c>
      <c r="F20" s="13">
        <v>0</v>
      </c>
      <c r="G20" s="14">
        <f t="shared" si="0"/>
        <v>0</v>
      </c>
      <c r="H20" s="14">
        <f>IF(OR(WEEKDAY($B20,2)&gt;5,COUNTIF(FESTIVOS!$A:$A,$B20)&gt;0),0,$H$3*24)</f>
        <v>0.49999999999999989</v>
      </c>
      <c r="I20" s="14">
        <f>IF(OR(WEEKDAY($B20,2)&gt;5,COUNTIF(FESTIVOS!$A:$A,$B20)&gt;0),0,$I$3*24)</f>
        <v>8</v>
      </c>
      <c r="J20" s="14">
        <f>IF(OR(WEEKDAY($B20,2)&gt;5,COUNTIF(FESTIVOS!$A:$A,$B20)&gt;0),"",G20-I20-H20)</f>
        <v>-8.5</v>
      </c>
      <c r="K20" s="14" t="str">
        <f>IF(OR(WEEKDAY($B20,2)&gt;5,COUNTIF(FESTIVOS!$A:$A,$B20)&gt;0),G20,"")</f>
        <v/>
      </c>
      <c r="L20" s="11"/>
    </row>
    <row r="21" spans="1:12" x14ac:dyDescent="0.3">
      <c r="A21" s="11" t="s">
        <v>18</v>
      </c>
      <c r="B21" s="12">
        <v>46219</v>
      </c>
      <c r="C21" s="13">
        <v>0</v>
      </c>
      <c r="D21" s="13">
        <v>0</v>
      </c>
      <c r="E21" s="13">
        <v>0</v>
      </c>
      <c r="F21" s="13">
        <v>0</v>
      </c>
      <c r="G21" s="14">
        <f t="shared" si="0"/>
        <v>0</v>
      </c>
      <c r="H21" s="14">
        <f>IF(OR(WEEKDAY($B21,2)&gt;5,COUNTIF(FESTIVOS!$A:$A,$B21)&gt;0),0,$H$3*24)</f>
        <v>0.49999999999999989</v>
      </c>
      <c r="I21" s="14">
        <f>IF(OR(WEEKDAY($B21,2)&gt;5,COUNTIF(FESTIVOS!$A:$A,$B21)&gt;0),0,$I$3*24)</f>
        <v>8</v>
      </c>
      <c r="J21" s="14">
        <f>IF(OR(WEEKDAY($B21,2)&gt;5,COUNTIF(FESTIVOS!$A:$A,$B21)&gt;0),"",G21-I21-H21)</f>
        <v>-8.5</v>
      </c>
      <c r="K21" s="14" t="str">
        <f>IF(OR(WEEKDAY($B21,2)&gt;5,COUNTIF(FESTIVOS!$A:$A,$B21)&gt;0),G21,"")</f>
        <v/>
      </c>
      <c r="L21" s="11"/>
    </row>
    <row r="22" spans="1:12" x14ac:dyDescent="0.3">
      <c r="A22" s="11" t="s">
        <v>19</v>
      </c>
      <c r="B22" s="12">
        <v>46220</v>
      </c>
      <c r="C22" s="13">
        <v>0</v>
      </c>
      <c r="D22" s="13">
        <v>0</v>
      </c>
      <c r="E22" s="13">
        <v>0</v>
      </c>
      <c r="F22" s="13">
        <v>0</v>
      </c>
      <c r="G22" s="14">
        <f t="shared" si="0"/>
        <v>0</v>
      </c>
      <c r="H22" s="14">
        <f>IF(OR(WEEKDAY($B22,2)&gt;5,COUNTIF(FESTIVOS!$A:$A,$B22)&gt;0),0,$H$3*24)</f>
        <v>0.49999999999999989</v>
      </c>
      <c r="I22" s="14">
        <f>IF(OR(WEEKDAY($B22,2)&gt;5,COUNTIF(FESTIVOS!$A:$A,$B22)&gt;0),0,$I$3*24)</f>
        <v>8</v>
      </c>
      <c r="J22" s="14">
        <f>IF(OR(WEEKDAY($B22,2)&gt;5,COUNTIF(FESTIVOS!$A:$A,$B22)&gt;0),"",G22-I22-H22)</f>
        <v>-8.5</v>
      </c>
      <c r="K22" s="14" t="str">
        <f>IF(OR(WEEKDAY($B22,2)&gt;5,COUNTIF(FESTIVOS!$A:$A,$B22)&gt;0),G22,"")</f>
        <v/>
      </c>
      <c r="L22" s="11"/>
    </row>
    <row r="23" spans="1:12" x14ac:dyDescent="0.3">
      <c r="A23" s="15" t="s">
        <v>20</v>
      </c>
      <c r="B23" s="16">
        <v>46221</v>
      </c>
      <c r="C23" s="17">
        <v>0</v>
      </c>
      <c r="D23" s="17">
        <v>0</v>
      </c>
      <c r="E23" s="17">
        <v>0</v>
      </c>
      <c r="F23" s="17">
        <v>0</v>
      </c>
      <c r="G23" s="18">
        <f t="shared" si="0"/>
        <v>0</v>
      </c>
      <c r="H23" s="18">
        <f>IF(OR(WEEKDAY($B23,2)&gt;5,COUNTIF(FESTIVOS!$A:$A,$B23)&gt;0),0,$H$3*24)</f>
        <v>0</v>
      </c>
      <c r="I23" s="18">
        <f>IF(OR(WEEKDAY($B23,2)&gt;5,COUNTIF(FESTIVOS!$A:$A,$B23)&gt;0),0,$I$3*24)</f>
        <v>0</v>
      </c>
      <c r="J23" s="18" t="str">
        <f>IF(OR(WEEKDAY($B23,2)&gt;5,COUNTIF(FESTIVOS!$A:$A,$B23)&gt;0),"",G23-I23-H23)</f>
        <v/>
      </c>
      <c r="K23" s="18">
        <f>IF(OR(WEEKDAY($B23,2)&gt;5,COUNTIF(FESTIVOS!$A:$A,$B23)&gt;0),G23,"")</f>
        <v>0</v>
      </c>
      <c r="L23" s="15"/>
    </row>
    <row r="24" spans="1:12" x14ac:dyDescent="0.3">
      <c r="A24" s="15" t="s">
        <v>21</v>
      </c>
      <c r="B24" s="16">
        <v>46222</v>
      </c>
      <c r="C24" s="17">
        <v>0</v>
      </c>
      <c r="D24" s="17">
        <v>0</v>
      </c>
      <c r="E24" s="17">
        <v>0</v>
      </c>
      <c r="F24" s="17">
        <v>0</v>
      </c>
      <c r="G24" s="18">
        <f t="shared" si="0"/>
        <v>0</v>
      </c>
      <c r="H24" s="18">
        <f>IF(OR(WEEKDAY($B24,2)&gt;5,COUNTIF(FESTIVOS!$A:$A,$B24)&gt;0),0,$H$3*24)</f>
        <v>0</v>
      </c>
      <c r="I24" s="18">
        <f>IF(OR(WEEKDAY($B24,2)&gt;5,COUNTIF(FESTIVOS!$A:$A,$B24)&gt;0),0,$I$3*24)</f>
        <v>0</v>
      </c>
      <c r="J24" s="18" t="str">
        <f>IF(OR(WEEKDAY($B24,2)&gt;5,COUNTIF(FESTIVOS!$A:$A,$B24)&gt;0),"",G24-I24-H24)</f>
        <v/>
      </c>
      <c r="K24" s="18">
        <f>IF(OR(WEEKDAY($B24,2)&gt;5,COUNTIF(FESTIVOS!$A:$A,$B24)&gt;0),G24,"")</f>
        <v>0</v>
      </c>
      <c r="L24" s="15"/>
    </row>
    <row r="25" spans="1:12" x14ac:dyDescent="0.3">
      <c r="A25" s="11" t="s">
        <v>15</v>
      </c>
      <c r="B25" s="12">
        <v>46223</v>
      </c>
      <c r="C25" s="13">
        <v>0</v>
      </c>
      <c r="D25" s="13">
        <v>0</v>
      </c>
      <c r="E25" s="13">
        <v>0</v>
      </c>
      <c r="F25" s="13">
        <v>0</v>
      </c>
      <c r="G25" s="14">
        <f t="shared" si="0"/>
        <v>0</v>
      </c>
      <c r="H25" s="14">
        <f>IF(OR(WEEKDAY($B25,2)&gt;5,COUNTIF(FESTIVOS!$A:$A,$B25)&gt;0),0,$H$3*24)</f>
        <v>0.49999999999999989</v>
      </c>
      <c r="I25" s="14">
        <f>IF(OR(WEEKDAY($B25,2)&gt;5,COUNTIF(FESTIVOS!$A:$A,$B25)&gt;0),0,$I$3*24)</f>
        <v>8</v>
      </c>
      <c r="J25" s="14">
        <f>IF(OR(WEEKDAY($B25,2)&gt;5,COUNTIF(FESTIVOS!$A:$A,$B25)&gt;0),"",G25-I25-H25)</f>
        <v>-8.5</v>
      </c>
      <c r="K25" s="14" t="str">
        <f>IF(OR(WEEKDAY($B25,2)&gt;5,COUNTIF(FESTIVOS!$A:$A,$B25)&gt;0),G25,"")</f>
        <v/>
      </c>
      <c r="L25" s="11"/>
    </row>
    <row r="26" spans="1:12" x14ac:dyDescent="0.3">
      <c r="A26" s="11" t="s">
        <v>16</v>
      </c>
      <c r="B26" s="12">
        <v>46224</v>
      </c>
      <c r="C26" s="13">
        <v>0</v>
      </c>
      <c r="D26" s="13">
        <v>0</v>
      </c>
      <c r="E26" s="13">
        <v>0</v>
      </c>
      <c r="F26" s="13">
        <v>0</v>
      </c>
      <c r="G26" s="14">
        <f t="shared" si="0"/>
        <v>0</v>
      </c>
      <c r="H26" s="14">
        <f>IF(OR(WEEKDAY($B26,2)&gt;5,COUNTIF(FESTIVOS!$A:$A,$B26)&gt;0),0,$H$3*24)</f>
        <v>0.49999999999999989</v>
      </c>
      <c r="I26" s="14">
        <f>IF(OR(WEEKDAY($B26,2)&gt;5,COUNTIF(FESTIVOS!$A:$A,$B26)&gt;0),0,$I$3*24)</f>
        <v>8</v>
      </c>
      <c r="J26" s="14">
        <f>IF(OR(WEEKDAY($B26,2)&gt;5,COUNTIF(FESTIVOS!$A:$A,$B26)&gt;0),"",G26-I26-H26)</f>
        <v>-8.5</v>
      </c>
      <c r="K26" s="14" t="str">
        <f>IF(OR(WEEKDAY($B26,2)&gt;5,COUNTIF(FESTIVOS!$A:$A,$B26)&gt;0),G26,"")</f>
        <v/>
      </c>
      <c r="L26" s="11"/>
    </row>
    <row r="27" spans="1:12" x14ac:dyDescent="0.3">
      <c r="A27" s="11" t="s">
        <v>17</v>
      </c>
      <c r="B27" s="12">
        <v>46225</v>
      </c>
      <c r="C27" s="13">
        <v>0</v>
      </c>
      <c r="D27" s="13">
        <v>0</v>
      </c>
      <c r="E27" s="13">
        <v>0</v>
      </c>
      <c r="F27" s="13">
        <v>0</v>
      </c>
      <c r="G27" s="14">
        <f t="shared" si="0"/>
        <v>0</v>
      </c>
      <c r="H27" s="14">
        <f>IF(OR(WEEKDAY($B27,2)&gt;5,COUNTIF(FESTIVOS!$A:$A,$B27)&gt;0),0,$H$3*24)</f>
        <v>0.49999999999999989</v>
      </c>
      <c r="I27" s="14">
        <f>IF(OR(WEEKDAY($B27,2)&gt;5,COUNTIF(FESTIVOS!$A:$A,$B27)&gt;0),0,$I$3*24)</f>
        <v>8</v>
      </c>
      <c r="J27" s="14">
        <f>IF(OR(WEEKDAY($B27,2)&gt;5,COUNTIF(FESTIVOS!$A:$A,$B27)&gt;0),"",G27-I27-H27)</f>
        <v>-8.5</v>
      </c>
      <c r="K27" s="14" t="str">
        <f>IF(OR(WEEKDAY($B27,2)&gt;5,COUNTIF(FESTIVOS!$A:$A,$B27)&gt;0),G27,"")</f>
        <v/>
      </c>
      <c r="L27" s="11"/>
    </row>
    <row r="28" spans="1:12" x14ac:dyDescent="0.3">
      <c r="A28" s="11" t="s">
        <v>18</v>
      </c>
      <c r="B28" s="12">
        <v>46226</v>
      </c>
      <c r="C28" s="13">
        <v>0</v>
      </c>
      <c r="D28" s="13">
        <v>0</v>
      </c>
      <c r="E28" s="13">
        <v>0</v>
      </c>
      <c r="F28" s="13">
        <v>0</v>
      </c>
      <c r="G28" s="14">
        <f t="shared" si="0"/>
        <v>0</v>
      </c>
      <c r="H28" s="14">
        <f>IF(OR(WEEKDAY($B28,2)&gt;5,COUNTIF(FESTIVOS!$A:$A,$B28)&gt;0),0,$H$3*24)</f>
        <v>0.49999999999999989</v>
      </c>
      <c r="I28" s="14">
        <f>IF(OR(WEEKDAY($B28,2)&gt;5,COUNTIF(FESTIVOS!$A:$A,$B28)&gt;0),0,$I$3*24)</f>
        <v>8</v>
      </c>
      <c r="J28" s="14">
        <f>IF(OR(WEEKDAY($B28,2)&gt;5,COUNTIF(FESTIVOS!$A:$A,$B28)&gt;0),"",G28-I28-H28)</f>
        <v>-8.5</v>
      </c>
      <c r="K28" s="14" t="str">
        <f>IF(OR(WEEKDAY($B28,2)&gt;5,COUNTIF(FESTIVOS!$A:$A,$B28)&gt;0),G28,"")</f>
        <v/>
      </c>
      <c r="L28" s="11"/>
    </row>
    <row r="29" spans="1:12" x14ac:dyDescent="0.3">
      <c r="A29" s="11" t="s">
        <v>19</v>
      </c>
      <c r="B29" s="12">
        <v>46227</v>
      </c>
      <c r="C29" s="13">
        <v>0</v>
      </c>
      <c r="D29" s="13">
        <v>0</v>
      </c>
      <c r="E29" s="13">
        <v>0</v>
      </c>
      <c r="F29" s="13">
        <v>0</v>
      </c>
      <c r="G29" s="14">
        <f t="shared" si="0"/>
        <v>0</v>
      </c>
      <c r="H29" s="14">
        <f>IF(OR(WEEKDAY($B29,2)&gt;5,COUNTIF(FESTIVOS!$A:$A,$B29)&gt;0),0,$H$3*24)</f>
        <v>0.49999999999999989</v>
      </c>
      <c r="I29" s="14">
        <f>IF(OR(WEEKDAY($B29,2)&gt;5,COUNTIF(FESTIVOS!$A:$A,$B29)&gt;0),0,$I$3*24)</f>
        <v>8</v>
      </c>
      <c r="J29" s="14">
        <f>IF(OR(WEEKDAY($B29,2)&gt;5,COUNTIF(FESTIVOS!$A:$A,$B29)&gt;0),"",G29-I29-H29)</f>
        <v>-8.5</v>
      </c>
      <c r="K29" s="14" t="str">
        <f>IF(OR(WEEKDAY($B29,2)&gt;5,COUNTIF(FESTIVOS!$A:$A,$B29)&gt;0),G29,"")</f>
        <v/>
      </c>
      <c r="L29" s="11"/>
    </row>
    <row r="30" spans="1:12" x14ac:dyDescent="0.3">
      <c r="A30" s="15" t="s">
        <v>20</v>
      </c>
      <c r="B30" s="16">
        <v>46228</v>
      </c>
      <c r="C30" s="17">
        <v>0</v>
      </c>
      <c r="D30" s="17">
        <v>0</v>
      </c>
      <c r="E30" s="17">
        <v>0</v>
      </c>
      <c r="F30" s="17">
        <v>0</v>
      </c>
      <c r="G30" s="18">
        <f t="shared" si="0"/>
        <v>0</v>
      </c>
      <c r="H30" s="18">
        <f>IF(OR(WEEKDAY($B30,2)&gt;5,COUNTIF(FESTIVOS!$A:$A,$B30)&gt;0),0,$H$3*24)</f>
        <v>0</v>
      </c>
      <c r="I30" s="18">
        <f>IF(OR(WEEKDAY($B30,2)&gt;5,COUNTIF(FESTIVOS!$A:$A,$B30)&gt;0),0,$I$3*24)</f>
        <v>0</v>
      </c>
      <c r="J30" s="18" t="str">
        <f>IF(OR(WEEKDAY($B30,2)&gt;5,COUNTIF(FESTIVOS!$A:$A,$B30)&gt;0),"",G30-I30-H30)</f>
        <v/>
      </c>
      <c r="K30" s="18">
        <f>IF(OR(WEEKDAY($B30,2)&gt;5,COUNTIF(FESTIVOS!$A:$A,$B30)&gt;0),G30,"")</f>
        <v>0</v>
      </c>
      <c r="L30" s="15"/>
    </row>
    <row r="31" spans="1:12" x14ac:dyDescent="0.3">
      <c r="A31" s="15" t="s">
        <v>21</v>
      </c>
      <c r="B31" s="16">
        <v>46229</v>
      </c>
      <c r="C31" s="17">
        <v>0</v>
      </c>
      <c r="D31" s="17">
        <v>0</v>
      </c>
      <c r="E31" s="17">
        <v>0</v>
      </c>
      <c r="F31" s="17">
        <v>0</v>
      </c>
      <c r="G31" s="18">
        <f t="shared" si="0"/>
        <v>0</v>
      </c>
      <c r="H31" s="18">
        <f>IF(OR(WEEKDAY($B31,2)&gt;5,COUNTIF(FESTIVOS!$A:$A,$B31)&gt;0),0,$H$3*24)</f>
        <v>0</v>
      </c>
      <c r="I31" s="18">
        <f>IF(OR(WEEKDAY($B31,2)&gt;5,COUNTIF(FESTIVOS!$A:$A,$B31)&gt;0),0,$I$3*24)</f>
        <v>0</v>
      </c>
      <c r="J31" s="18" t="str">
        <f>IF(OR(WEEKDAY($B31,2)&gt;5,COUNTIF(FESTIVOS!$A:$A,$B31)&gt;0),"",G31-I31-H31)</f>
        <v/>
      </c>
      <c r="K31" s="18">
        <f>IF(OR(WEEKDAY($B31,2)&gt;5,COUNTIF(FESTIVOS!$A:$A,$B31)&gt;0),G31,"")</f>
        <v>0</v>
      </c>
      <c r="L31" s="15"/>
    </row>
    <row r="32" spans="1:12" x14ac:dyDescent="0.3">
      <c r="A32" s="11" t="s">
        <v>15</v>
      </c>
      <c r="B32" s="12">
        <v>46230</v>
      </c>
      <c r="C32" s="13">
        <v>0</v>
      </c>
      <c r="D32" s="13">
        <v>0</v>
      </c>
      <c r="E32" s="13">
        <v>0</v>
      </c>
      <c r="F32" s="13">
        <v>0</v>
      </c>
      <c r="G32" s="14">
        <f t="shared" si="0"/>
        <v>0</v>
      </c>
      <c r="H32" s="14">
        <f>IF(OR(WEEKDAY($B32,2)&gt;5,COUNTIF(FESTIVOS!$A:$A,$B32)&gt;0),0,$H$3*24)</f>
        <v>0.49999999999999989</v>
      </c>
      <c r="I32" s="14">
        <f>IF(OR(WEEKDAY($B32,2)&gt;5,COUNTIF(FESTIVOS!$A:$A,$B32)&gt;0),0,$I$3*24)</f>
        <v>8</v>
      </c>
      <c r="J32" s="14">
        <f>IF(OR(WEEKDAY($B32,2)&gt;5,COUNTIF(FESTIVOS!$A:$A,$B32)&gt;0),"",G32-I32-H32)</f>
        <v>-8.5</v>
      </c>
      <c r="K32" s="14" t="str">
        <f>IF(OR(WEEKDAY($B32,2)&gt;5,COUNTIF(FESTIVOS!$A:$A,$B32)&gt;0),G32,"")</f>
        <v/>
      </c>
      <c r="L32" s="11"/>
    </row>
    <row r="33" spans="1:12" x14ac:dyDescent="0.3">
      <c r="A33" s="11" t="s">
        <v>16</v>
      </c>
      <c r="B33" s="12">
        <v>46231</v>
      </c>
      <c r="C33" s="13">
        <v>0</v>
      </c>
      <c r="D33" s="13">
        <v>0</v>
      </c>
      <c r="E33" s="13">
        <v>0</v>
      </c>
      <c r="F33" s="13">
        <v>0</v>
      </c>
      <c r="G33" s="14">
        <f t="shared" si="0"/>
        <v>0</v>
      </c>
      <c r="H33" s="14">
        <f>IF(OR(WEEKDAY($B33,2)&gt;5,COUNTIF(FESTIVOS!$A:$A,$B33)&gt;0),0,$H$3*24)</f>
        <v>0.49999999999999989</v>
      </c>
      <c r="I33" s="14">
        <f>IF(OR(WEEKDAY($B33,2)&gt;5,COUNTIF(FESTIVOS!$A:$A,$B33)&gt;0),0,$I$3*24)</f>
        <v>8</v>
      </c>
      <c r="J33" s="14">
        <f>IF(OR(WEEKDAY($B33,2)&gt;5,COUNTIF(FESTIVOS!$A:$A,$B33)&gt;0),"",G33-I33-H33)</f>
        <v>-8.5</v>
      </c>
      <c r="K33" s="14" t="str">
        <f>IF(OR(WEEKDAY($B33,2)&gt;5,COUNTIF(FESTIVOS!$A:$A,$B33)&gt;0),G33,"")</f>
        <v/>
      </c>
      <c r="L33" s="11"/>
    </row>
    <row r="34" spans="1:12" x14ac:dyDescent="0.3">
      <c r="A34" s="11" t="s">
        <v>17</v>
      </c>
      <c r="B34" s="12">
        <v>46232</v>
      </c>
      <c r="C34" s="13">
        <v>0</v>
      </c>
      <c r="D34" s="13">
        <v>0</v>
      </c>
      <c r="E34" s="13">
        <v>0</v>
      </c>
      <c r="F34" s="13">
        <v>0</v>
      </c>
      <c r="G34" s="14">
        <f t="shared" si="0"/>
        <v>0</v>
      </c>
      <c r="H34" s="14">
        <f>IF(OR(WEEKDAY($B34,2)&gt;5,COUNTIF(FESTIVOS!$A:$A,$B34)&gt;0),0,$H$3*24)</f>
        <v>0.49999999999999989</v>
      </c>
      <c r="I34" s="14">
        <f>IF(OR(WEEKDAY($B34,2)&gt;5,COUNTIF(FESTIVOS!$A:$A,$B34)&gt;0),0,$I$3*24)</f>
        <v>8</v>
      </c>
      <c r="J34" s="14">
        <f>IF(OR(WEEKDAY($B34,2)&gt;5,COUNTIF(FESTIVOS!$A:$A,$B34)&gt;0),"",G34-I34-H34)</f>
        <v>-8.5</v>
      </c>
      <c r="K34" s="14" t="str">
        <f>IF(OR(WEEKDAY($B34,2)&gt;5,COUNTIF(FESTIVOS!$A:$A,$B34)&gt;0),G34,"")</f>
        <v/>
      </c>
      <c r="L34" s="11"/>
    </row>
    <row r="35" spans="1:12" x14ac:dyDescent="0.3">
      <c r="A35" s="11" t="s">
        <v>18</v>
      </c>
      <c r="B35" s="12">
        <v>46233</v>
      </c>
      <c r="C35" s="13">
        <v>0</v>
      </c>
      <c r="D35" s="13">
        <v>0</v>
      </c>
      <c r="E35" s="13">
        <v>0</v>
      </c>
      <c r="F35" s="13">
        <v>0</v>
      </c>
      <c r="G35" s="14">
        <f t="shared" si="0"/>
        <v>0</v>
      </c>
      <c r="H35" s="14">
        <f>IF(OR(WEEKDAY($B35,2)&gt;5,COUNTIF(FESTIVOS!$A:$A,$B35)&gt;0),0,$H$3*24)</f>
        <v>0.49999999999999989</v>
      </c>
      <c r="I35" s="14">
        <f>IF(OR(WEEKDAY($B35,2)&gt;5,COUNTIF(FESTIVOS!$A:$A,$B35)&gt;0),0,$I$3*24)</f>
        <v>8</v>
      </c>
      <c r="J35" s="14">
        <f>IF(OR(WEEKDAY($B35,2)&gt;5,COUNTIF(FESTIVOS!$A:$A,$B35)&gt;0),"",G35-I35-H35)</f>
        <v>-8.5</v>
      </c>
      <c r="K35" s="14" t="str">
        <f>IF(OR(WEEKDAY($B35,2)&gt;5,COUNTIF(FESTIVOS!$A:$A,$B35)&gt;0),G35,"")</f>
        <v/>
      </c>
      <c r="L35" s="11"/>
    </row>
    <row r="36" spans="1:12" x14ac:dyDescent="0.3">
      <c r="A36" s="11" t="s">
        <v>19</v>
      </c>
      <c r="B36" s="12">
        <v>46234</v>
      </c>
      <c r="C36" s="13">
        <v>0</v>
      </c>
      <c r="D36" s="13">
        <v>0</v>
      </c>
      <c r="E36" s="13">
        <v>0</v>
      </c>
      <c r="F36" s="13">
        <v>0</v>
      </c>
      <c r="G36" s="14">
        <f t="shared" si="0"/>
        <v>0</v>
      </c>
      <c r="H36" s="14">
        <f>IF(OR(WEEKDAY($B36,2)&gt;5,COUNTIF(FESTIVOS!$A:$A,$B36)&gt;0),0,$H$3*24)</f>
        <v>0.49999999999999989</v>
      </c>
      <c r="I36" s="14">
        <f>IF(OR(WEEKDAY($B36,2)&gt;5,COUNTIF(FESTIVOS!$A:$A,$B36)&gt;0),0,$I$3*24)</f>
        <v>8</v>
      </c>
      <c r="J36" s="14">
        <f>IF(OR(WEEKDAY($B36,2)&gt;5,COUNTIF(FESTIVOS!$A:$A,$B36)&gt;0),"",G36-I36-H36)</f>
        <v>-8.5</v>
      </c>
      <c r="K36" s="14" t="str">
        <f>IF(OR(WEEKDAY($B36,2)&gt;5,COUNTIF(FESTIVOS!$A:$A,$B36)&gt;0),G36,"")</f>
        <v/>
      </c>
      <c r="L36" s="11"/>
    </row>
  </sheetData>
  <mergeCells count="1">
    <mergeCell ref="C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workbookViewId="0">
      <selection activeCell="E8" sqref="E8"/>
    </sheetView>
  </sheetViews>
  <sheetFormatPr baseColWidth="10" defaultColWidth="9.140625" defaultRowHeight="16.5" x14ac:dyDescent="0.3"/>
  <cols>
    <col min="1" max="1" width="4.7109375" style="2" bestFit="1" customWidth="1"/>
    <col min="2" max="2" width="13.85546875" style="2" bestFit="1" customWidth="1"/>
    <col min="3" max="3" width="11.85546875" style="2" bestFit="1" customWidth="1"/>
    <col min="4" max="4" width="9.7109375" style="2" bestFit="1" customWidth="1"/>
    <col min="5" max="5" width="11.85546875" style="2" bestFit="1" customWidth="1"/>
    <col min="6" max="7" width="9.7109375" style="2" bestFit="1" customWidth="1"/>
    <col min="8" max="8" width="14.7109375" style="2" bestFit="1" customWidth="1"/>
    <col min="9" max="9" width="8" style="2" customWidth="1"/>
    <col min="10" max="10" width="9.28515625" style="2" bestFit="1" customWidth="1"/>
    <col min="11" max="11" width="17.5703125" style="2" bestFit="1" customWidth="1"/>
    <col min="12" max="12" width="20.140625" style="2" bestFit="1" customWidth="1"/>
    <col min="13" max="13" width="9.140625" style="2"/>
    <col min="14" max="14" width="11.5703125" style="2" bestFit="1" customWidth="1"/>
    <col min="15" max="15" width="22.85546875" style="2" bestFit="1" customWidth="1"/>
    <col min="16" max="16" width="11.5703125" style="2" bestFit="1" customWidth="1"/>
    <col min="17" max="16384" width="9.140625" style="2"/>
  </cols>
  <sheetData>
    <row r="1" spans="1:16" ht="18" x14ac:dyDescent="0.35">
      <c r="N1" s="3">
        <v>9</v>
      </c>
      <c r="O1" s="3">
        <v>10</v>
      </c>
    </row>
    <row r="2" spans="1:16" ht="18" x14ac:dyDescent="0.35">
      <c r="C2" s="4" t="s">
        <v>0</v>
      </c>
      <c r="D2" s="5"/>
      <c r="F2" s="6" t="s">
        <v>1</v>
      </c>
      <c r="N2" s="6" t="s">
        <v>2</v>
      </c>
      <c r="O2" s="6" t="s">
        <v>3</v>
      </c>
    </row>
    <row r="3" spans="1:16" ht="18" x14ac:dyDescent="0.35">
      <c r="F3" s="6" t="s">
        <v>29</v>
      </c>
      <c r="H3" s="7">
        <v>2.0833333333333329E-2</v>
      </c>
      <c r="I3" s="7">
        <v>0.33333333333333331</v>
      </c>
      <c r="N3" s="8" t="e">
        <f>SUMPRODUCT((J6:J36&gt;0)*(J6:J36))</f>
        <v>#VALUE!</v>
      </c>
      <c r="O3" s="8">
        <f>SUM(K6:K36)</f>
        <v>0</v>
      </c>
    </row>
    <row r="4" spans="1:16" ht="18" x14ac:dyDescent="0.35">
      <c r="P4" s="6" t="s">
        <v>5</v>
      </c>
    </row>
    <row r="5" spans="1:16" ht="18" x14ac:dyDescent="0.35">
      <c r="A5" s="9" t="s">
        <v>6</v>
      </c>
      <c r="B5" s="9" t="s">
        <v>7</v>
      </c>
      <c r="C5" s="9" t="s">
        <v>8</v>
      </c>
      <c r="D5" s="9" t="s">
        <v>9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2</v>
      </c>
      <c r="K5" s="9" t="s">
        <v>13</v>
      </c>
      <c r="L5" s="9" t="s">
        <v>14</v>
      </c>
      <c r="N5" s="10" t="e">
        <f>N3*N1</f>
        <v>#VALUE!</v>
      </c>
      <c r="O5" s="10">
        <f>O3*O1</f>
        <v>0</v>
      </c>
      <c r="P5" s="10" t="e">
        <f>N5+O5</f>
        <v>#VALUE!</v>
      </c>
    </row>
    <row r="6" spans="1:16" x14ac:dyDescent="0.3">
      <c r="A6" s="15" t="s">
        <v>20</v>
      </c>
      <c r="B6" s="16">
        <v>46235</v>
      </c>
      <c r="C6" s="17">
        <v>0</v>
      </c>
      <c r="D6" s="17">
        <v>0</v>
      </c>
      <c r="E6" s="17">
        <v>0</v>
      </c>
      <c r="F6" s="17">
        <v>0</v>
      </c>
      <c r="G6" s="18">
        <f t="shared" ref="G6:G36" si="0">IF(AND(C6="",D6="",E6="",F6=""),0,(F6-E6+D6-C6)*24)</f>
        <v>0</v>
      </c>
      <c r="H6" s="18">
        <f>IF(OR(WEEKDAY($B6,2)&gt;5,COUNTIF(FESTIVOS!$A:$A,$B6)&gt;0),0,$H$3*24)</f>
        <v>0</v>
      </c>
      <c r="I6" s="18">
        <f>IF(OR(WEEKDAY($B6,2)&gt;5,COUNTIF(FESTIVOS!$A:$A,$B6)&gt;0),0,$I$3*24)</f>
        <v>0</v>
      </c>
      <c r="J6" s="18" t="str">
        <f>IF(OR(WEEKDAY($B6,2)&gt;5,COUNTIF(FESTIVOS!$A:$A,$B6)&gt;0),"",G6-I6-H6)</f>
        <v/>
      </c>
      <c r="K6" s="18">
        <f>IF(OR(WEEKDAY($B6,2)&gt;5,COUNTIF(FESTIVOS!$A:$A,$B6)&gt;0),G6,"")</f>
        <v>0</v>
      </c>
      <c r="L6" s="15"/>
    </row>
    <row r="7" spans="1:16" x14ac:dyDescent="0.3">
      <c r="A7" s="15" t="s">
        <v>21</v>
      </c>
      <c r="B7" s="16">
        <v>46236</v>
      </c>
      <c r="C7" s="17">
        <v>0</v>
      </c>
      <c r="D7" s="17">
        <v>0</v>
      </c>
      <c r="E7" s="17">
        <v>0</v>
      </c>
      <c r="F7" s="17">
        <v>0</v>
      </c>
      <c r="G7" s="18">
        <f t="shared" si="0"/>
        <v>0</v>
      </c>
      <c r="H7" s="18">
        <f>IF(OR(WEEKDAY($B7,2)&gt;5,COUNTIF(FESTIVOS!$A:$A,$B7)&gt;0),0,$H$3*24)</f>
        <v>0</v>
      </c>
      <c r="I7" s="18">
        <f>IF(OR(WEEKDAY($B7,2)&gt;5,COUNTIF(FESTIVOS!$A:$A,$B7)&gt;0),0,$I$3*24)</f>
        <v>0</v>
      </c>
      <c r="J7" s="18" t="str">
        <f>IF(OR(WEEKDAY($B7,2)&gt;5,COUNTIF(FESTIVOS!$A:$A,$B7)&gt;0),"",G7-I7-H7)</f>
        <v/>
      </c>
      <c r="K7" s="18">
        <f>IF(OR(WEEKDAY($B7,2)&gt;5,COUNTIF(FESTIVOS!$A:$A,$B7)&gt;0),G7,"")</f>
        <v>0</v>
      </c>
      <c r="L7" s="15"/>
    </row>
    <row r="8" spans="1:16" x14ac:dyDescent="0.3">
      <c r="A8" s="11" t="s">
        <v>15</v>
      </c>
      <c r="B8" s="12">
        <v>46237</v>
      </c>
      <c r="C8" s="13">
        <v>0</v>
      </c>
      <c r="D8" s="13">
        <v>0</v>
      </c>
      <c r="E8" s="13">
        <v>0</v>
      </c>
      <c r="F8" s="13">
        <v>0</v>
      </c>
      <c r="G8" s="14">
        <f t="shared" si="0"/>
        <v>0</v>
      </c>
      <c r="H8" s="14">
        <f>IF(OR(WEEKDAY($B8,2)&gt;5,COUNTIF(FESTIVOS!$A:$A,$B8)&gt;0),0,$H$3*24)</f>
        <v>0.49999999999999989</v>
      </c>
      <c r="I8" s="14">
        <f>IF(OR(WEEKDAY($B8,2)&gt;5,COUNTIF(FESTIVOS!$A:$A,$B8)&gt;0),0,$I$3*24)</f>
        <v>8</v>
      </c>
      <c r="J8" s="14">
        <f>IF(OR(WEEKDAY($B8,2)&gt;5,COUNTIF(FESTIVOS!$A:$A,$B8)&gt;0),"",G8-I8-H8)</f>
        <v>-8.5</v>
      </c>
      <c r="K8" s="14" t="str">
        <f>IF(OR(WEEKDAY($B8,2)&gt;5,COUNTIF(FESTIVOS!$A:$A,$B8)&gt;0),G8,"")</f>
        <v/>
      </c>
      <c r="L8" s="11"/>
    </row>
    <row r="9" spans="1:16" x14ac:dyDescent="0.3">
      <c r="A9" s="11" t="s">
        <v>16</v>
      </c>
      <c r="B9" s="12">
        <v>46238</v>
      </c>
      <c r="C9" s="13">
        <v>0</v>
      </c>
      <c r="D9" s="13">
        <v>0</v>
      </c>
      <c r="E9" s="13">
        <v>0</v>
      </c>
      <c r="F9" s="13">
        <v>0</v>
      </c>
      <c r="G9" s="14">
        <f t="shared" si="0"/>
        <v>0</v>
      </c>
      <c r="H9" s="14">
        <f>IF(OR(WEEKDAY($B9,2)&gt;5,COUNTIF(FESTIVOS!$A:$A,$B9)&gt;0),0,$H$3*24)</f>
        <v>0.49999999999999989</v>
      </c>
      <c r="I9" s="14">
        <f>IF(OR(WEEKDAY($B9,2)&gt;5,COUNTIF(FESTIVOS!$A:$A,$B9)&gt;0),0,$I$3*24)</f>
        <v>8</v>
      </c>
      <c r="J9" s="14">
        <f>IF(OR(WEEKDAY($B9,2)&gt;5,COUNTIF(FESTIVOS!$A:$A,$B9)&gt;0),"",G9-I9-H9)</f>
        <v>-8.5</v>
      </c>
      <c r="K9" s="14" t="str">
        <f>IF(OR(WEEKDAY($B9,2)&gt;5,COUNTIF(FESTIVOS!$A:$A,$B9)&gt;0),G9,"")</f>
        <v/>
      </c>
      <c r="L9" s="11"/>
    </row>
    <row r="10" spans="1:16" x14ac:dyDescent="0.3">
      <c r="A10" s="11" t="s">
        <v>17</v>
      </c>
      <c r="B10" s="12">
        <v>46239</v>
      </c>
      <c r="C10" s="13">
        <v>0</v>
      </c>
      <c r="D10" s="13">
        <v>0</v>
      </c>
      <c r="E10" s="13">
        <v>0</v>
      </c>
      <c r="F10" s="13">
        <v>0</v>
      </c>
      <c r="G10" s="14">
        <f t="shared" si="0"/>
        <v>0</v>
      </c>
      <c r="H10" s="14">
        <f>IF(OR(WEEKDAY($B10,2)&gt;5,COUNTIF(FESTIVOS!$A:$A,$B10)&gt;0),0,$H$3*24)</f>
        <v>0.49999999999999989</v>
      </c>
      <c r="I10" s="14">
        <f>IF(OR(WEEKDAY($B10,2)&gt;5,COUNTIF(FESTIVOS!$A:$A,$B10)&gt;0),0,$I$3*24)</f>
        <v>8</v>
      </c>
      <c r="J10" s="14">
        <f>IF(OR(WEEKDAY($B10,2)&gt;5,COUNTIF(FESTIVOS!$A:$A,$B10)&gt;0),"",G10-I10-H10)</f>
        <v>-8.5</v>
      </c>
      <c r="K10" s="14" t="str">
        <f>IF(OR(WEEKDAY($B10,2)&gt;5,COUNTIF(FESTIVOS!$A:$A,$B10)&gt;0),G10,"")</f>
        <v/>
      </c>
      <c r="L10" s="11"/>
    </row>
    <row r="11" spans="1:16" x14ac:dyDescent="0.3">
      <c r="A11" s="11" t="s">
        <v>18</v>
      </c>
      <c r="B11" s="12">
        <v>46240</v>
      </c>
      <c r="C11" s="13">
        <v>0</v>
      </c>
      <c r="D11" s="13">
        <v>0</v>
      </c>
      <c r="E11" s="13">
        <v>0</v>
      </c>
      <c r="F11" s="13">
        <v>0</v>
      </c>
      <c r="G11" s="14">
        <f t="shared" si="0"/>
        <v>0</v>
      </c>
      <c r="H11" s="14">
        <f>IF(OR(WEEKDAY($B11,2)&gt;5,COUNTIF(FESTIVOS!$A:$A,$B11)&gt;0),0,$H$3*24)</f>
        <v>0.49999999999999989</v>
      </c>
      <c r="I11" s="14">
        <f>IF(OR(WEEKDAY($B11,2)&gt;5,COUNTIF(FESTIVOS!$A:$A,$B11)&gt;0),0,$I$3*24)</f>
        <v>8</v>
      </c>
      <c r="J11" s="14">
        <f>IF(OR(WEEKDAY($B11,2)&gt;5,COUNTIF(FESTIVOS!$A:$A,$B11)&gt;0),"",G11-I11-H11)</f>
        <v>-8.5</v>
      </c>
      <c r="K11" s="14" t="str">
        <f>IF(OR(WEEKDAY($B11,2)&gt;5,COUNTIF(FESTIVOS!$A:$A,$B11)&gt;0),G11,"")</f>
        <v/>
      </c>
      <c r="L11" s="11"/>
    </row>
    <row r="12" spans="1:16" x14ac:dyDescent="0.3">
      <c r="A12" s="11" t="s">
        <v>19</v>
      </c>
      <c r="B12" s="12">
        <v>46241</v>
      </c>
      <c r="C12" s="13">
        <v>0</v>
      </c>
      <c r="D12" s="13">
        <v>0</v>
      </c>
      <c r="E12" s="13">
        <v>0</v>
      </c>
      <c r="F12" s="13">
        <v>0</v>
      </c>
      <c r="G12" s="14">
        <f t="shared" si="0"/>
        <v>0</v>
      </c>
      <c r="H12" s="14">
        <f>IF(OR(WEEKDAY($B12,2)&gt;5,COUNTIF(FESTIVOS!$A:$A,$B12)&gt;0),0,$H$3*24)</f>
        <v>0.49999999999999989</v>
      </c>
      <c r="I12" s="14">
        <f>IF(OR(WEEKDAY($B12,2)&gt;5,COUNTIF(FESTIVOS!$A:$A,$B12)&gt;0),0,$I$3*24)</f>
        <v>8</v>
      </c>
      <c r="J12" s="14">
        <f>IF(OR(WEEKDAY($B12,2)&gt;5,COUNTIF(FESTIVOS!$A:$A,$B12)&gt;0),"",G12-I12-H12)</f>
        <v>-8.5</v>
      </c>
      <c r="K12" s="14" t="str">
        <f>IF(OR(WEEKDAY($B12,2)&gt;5,COUNTIF(FESTIVOS!$A:$A,$B12)&gt;0),G12,"")</f>
        <v/>
      </c>
      <c r="L12" s="11"/>
    </row>
    <row r="13" spans="1:16" x14ac:dyDescent="0.3">
      <c r="A13" s="15" t="s">
        <v>20</v>
      </c>
      <c r="B13" s="16">
        <v>46242</v>
      </c>
      <c r="C13" s="17">
        <v>0</v>
      </c>
      <c r="D13" s="17">
        <v>0</v>
      </c>
      <c r="E13" s="17">
        <v>0</v>
      </c>
      <c r="F13" s="17">
        <v>0</v>
      </c>
      <c r="G13" s="18">
        <f t="shared" si="0"/>
        <v>0</v>
      </c>
      <c r="H13" s="18">
        <f>IF(OR(WEEKDAY($B13,2)&gt;5,COUNTIF(FESTIVOS!$A:$A,$B13)&gt;0),0,$H$3*24)</f>
        <v>0</v>
      </c>
      <c r="I13" s="18">
        <f>IF(OR(WEEKDAY($B13,2)&gt;5,COUNTIF(FESTIVOS!$A:$A,$B13)&gt;0),0,$I$3*24)</f>
        <v>0</v>
      </c>
      <c r="J13" s="18" t="str">
        <f>IF(OR(WEEKDAY($B13,2)&gt;5,COUNTIF(FESTIVOS!$A:$A,$B13)&gt;0),"",G13-I13-H13)</f>
        <v/>
      </c>
      <c r="K13" s="18">
        <f>IF(OR(WEEKDAY($B13,2)&gt;5,COUNTIF(FESTIVOS!$A:$A,$B13)&gt;0),G13,"")</f>
        <v>0</v>
      </c>
      <c r="L13" s="15"/>
    </row>
    <row r="14" spans="1:16" x14ac:dyDescent="0.3">
      <c r="A14" s="15" t="s">
        <v>21</v>
      </c>
      <c r="B14" s="16">
        <v>46243</v>
      </c>
      <c r="C14" s="17">
        <v>0</v>
      </c>
      <c r="D14" s="17">
        <v>0</v>
      </c>
      <c r="E14" s="17">
        <v>0</v>
      </c>
      <c r="F14" s="17">
        <v>0</v>
      </c>
      <c r="G14" s="18">
        <f t="shared" si="0"/>
        <v>0</v>
      </c>
      <c r="H14" s="18">
        <f>IF(OR(WEEKDAY($B14,2)&gt;5,COUNTIF(FESTIVOS!$A:$A,$B14)&gt;0),0,$H$3*24)</f>
        <v>0</v>
      </c>
      <c r="I14" s="18">
        <f>IF(OR(WEEKDAY($B14,2)&gt;5,COUNTIF(FESTIVOS!$A:$A,$B14)&gt;0),0,$I$3*24)</f>
        <v>0</v>
      </c>
      <c r="J14" s="18" t="str">
        <f>IF(OR(WEEKDAY($B14,2)&gt;5,COUNTIF(FESTIVOS!$A:$A,$B14)&gt;0),"",G14-I14-H14)</f>
        <v/>
      </c>
      <c r="K14" s="18">
        <f>IF(OR(WEEKDAY($B14,2)&gt;5,COUNTIF(FESTIVOS!$A:$A,$B14)&gt;0),G14,"")</f>
        <v>0</v>
      </c>
      <c r="L14" s="15"/>
    </row>
    <row r="15" spans="1:16" x14ac:dyDescent="0.3">
      <c r="A15" s="11" t="s">
        <v>15</v>
      </c>
      <c r="B15" s="12">
        <v>46244</v>
      </c>
      <c r="C15" s="13">
        <v>0</v>
      </c>
      <c r="D15" s="13">
        <v>0</v>
      </c>
      <c r="E15" s="13">
        <v>0</v>
      </c>
      <c r="F15" s="13">
        <v>0</v>
      </c>
      <c r="G15" s="14">
        <f t="shared" si="0"/>
        <v>0</v>
      </c>
      <c r="H15" s="14">
        <f>IF(OR(WEEKDAY($B15,2)&gt;5,COUNTIF(FESTIVOS!$A:$A,$B15)&gt;0),0,$H$3*24)</f>
        <v>0.49999999999999989</v>
      </c>
      <c r="I15" s="14">
        <f>IF(OR(WEEKDAY($B15,2)&gt;5,COUNTIF(FESTIVOS!$A:$A,$B15)&gt;0),0,$I$3*24)</f>
        <v>8</v>
      </c>
      <c r="J15" s="14">
        <f>IF(OR(WEEKDAY($B15,2)&gt;5,COUNTIF(FESTIVOS!$A:$A,$B15)&gt;0),"",G15-I15-H15)</f>
        <v>-8.5</v>
      </c>
      <c r="K15" s="14" t="str">
        <f>IF(OR(WEEKDAY($B15,2)&gt;5,COUNTIF(FESTIVOS!$A:$A,$B15)&gt;0),G15,"")</f>
        <v/>
      </c>
      <c r="L15" s="11"/>
    </row>
    <row r="16" spans="1:16" x14ac:dyDescent="0.3">
      <c r="A16" s="11" t="s">
        <v>16</v>
      </c>
      <c r="B16" s="12">
        <v>46245</v>
      </c>
      <c r="C16" s="13">
        <v>0</v>
      </c>
      <c r="D16" s="13">
        <v>0</v>
      </c>
      <c r="E16" s="13">
        <v>0</v>
      </c>
      <c r="F16" s="13">
        <v>0</v>
      </c>
      <c r="G16" s="14">
        <f t="shared" si="0"/>
        <v>0</v>
      </c>
      <c r="H16" s="14">
        <f>IF(OR(WEEKDAY($B16,2)&gt;5,COUNTIF(FESTIVOS!$A:$A,$B16)&gt;0),0,$H$3*24)</f>
        <v>0.49999999999999989</v>
      </c>
      <c r="I16" s="14">
        <f>IF(OR(WEEKDAY($B16,2)&gt;5,COUNTIF(FESTIVOS!$A:$A,$B16)&gt;0),0,$I$3*24)</f>
        <v>8</v>
      </c>
      <c r="J16" s="14">
        <f>IF(OR(WEEKDAY($B16,2)&gt;5,COUNTIF(FESTIVOS!$A:$A,$B16)&gt;0),"",G16-I16-H16)</f>
        <v>-8.5</v>
      </c>
      <c r="K16" s="14" t="str">
        <f>IF(OR(WEEKDAY($B16,2)&gt;5,COUNTIF(FESTIVOS!$A:$A,$B16)&gt;0),G16,"")</f>
        <v/>
      </c>
      <c r="L16" s="11"/>
    </row>
    <row r="17" spans="1:12" x14ac:dyDescent="0.3">
      <c r="A17" s="11" t="s">
        <v>17</v>
      </c>
      <c r="B17" s="12">
        <v>46246</v>
      </c>
      <c r="C17" s="13">
        <v>0</v>
      </c>
      <c r="D17" s="13">
        <v>0</v>
      </c>
      <c r="E17" s="13">
        <v>0</v>
      </c>
      <c r="F17" s="13">
        <v>0</v>
      </c>
      <c r="G17" s="14">
        <f t="shared" si="0"/>
        <v>0</v>
      </c>
      <c r="H17" s="14">
        <f>IF(OR(WEEKDAY($B17,2)&gt;5,COUNTIF(FESTIVOS!$A:$A,$B17)&gt;0),0,$H$3*24)</f>
        <v>0.49999999999999989</v>
      </c>
      <c r="I17" s="14">
        <f>IF(OR(WEEKDAY($B17,2)&gt;5,COUNTIF(FESTIVOS!$A:$A,$B17)&gt;0),0,$I$3*24)</f>
        <v>8</v>
      </c>
      <c r="J17" s="14">
        <f>IF(OR(WEEKDAY($B17,2)&gt;5,COUNTIF(FESTIVOS!$A:$A,$B17)&gt;0),"",G17-I17-H17)</f>
        <v>-8.5</v>
      </c>
      <c r="K17" s="14" t="str">
        <f>IF(OR(WEEKDAY($B17,2)&gt;5,COUNTIF(FESTIVOS!$A:$A,$B17)&gt;0),G17,"")</f>
        <v/>
      </c>
      <c r="L17" s="11"/>
    </row>
    <row r="18" spans="1:12" x14ac:dyDescent="0.3">
      <c r="A18" s="11" t="s">
        <v>18</v>
      </c>
      <c r="B18" s="12">
        <v>46247</v>
      </c>
      <c r="C18" s="13">
        <v>0</v>
      </c>
      <c r="D18" s="13">
        <v>0</v>
      </c>
      <c r="E18" s="13">
        <v>0</v>
      </c>
      <c r="F18" s="13">
        <v>0</v>
      </c>
      <c r="G18" s="14">
        <f t="shared" si="0"/>
        <v>0</v>
      </c>
      <c r="H18" s="14">
        <f>IF(OR(WEEKDAY($B18,2)&gt;5,COUNTIF(FESTIVOS!$A:$A,$B18)&gt;0),0,$H$3*24)</f>
        <v>0.49999999999999989</v>
      </c>
      <c r="I18" s="14">
        <f>IF(OR(WEEKDAY($B18,2)&gt;5,COUNTIF(FESTIVOS!$A:$A,$B18)&gt;0),0,$I$3*24)</f>
        <v>8</v>
      </c>
      <c r="J18" s="14">
        <f>IF(OR(WEEKDAY($B18,2)&gt;5,COUNTIF(FESTIVOS!$A:$A,$B18)&gt;0),"",G18-I18-H18)</f>
        <v>-8.5</v>
      </c>
      <c r="K18" s="14" t="str">
        <f>IF(OR(WEEKDAY($B18,2)&gt;5,COUNTIF(FESTIVOS!$A:$A,$B18)&gt;0),G18,"")</f>
        <v/>
      </c>
      <c r="L18" s="11"/>
    </row>
    <row r="19" spans="1:12" x14ac:dyDescent="0.3">
      <c r="A19" s="11" t="s">
        <v>19</v>
      </c>
      <c r="B19" s="12">
        <v>46248</v>
      </c>
      <c r="C19" s="13">
        <v>0</v>
      </c>
      <c r="D19" s="13">
        <v>0</v>
      </c>
      <c r="E19" s="13">
        <v>0</v>
      </c>
      <c r="F19" s="13">
        <v>0</v>
      </c>
      <c r="G19" s="14">
        <f t="shared" si="0"/>
        <v>0</v>
      </c>
      <c r="H19" s="14">
        <f>IF(OR(WEEKDAY($B19,2)&gt;5,COUNTIF(FESTIVOS!$A:$A,$B19)&gt;0),0,$H$3*24)</f>
        <v>0.49999999999999989</v>
      </c>
      <c r="I19" s="14">
        <f>IF(OR(WEEKDAY($B19,2)&gt;5,COUNTIF(FESTIVOS!$A:$A,$B19)&gt;0),0,$I$3*24)</f>
        <v>8</v>
      </c>
      <c r="J19" s="14">
        <f>IF(OR(WEEKDAY($B19,2)&gt;5,COUNTIF(FESTIVOS!$A:$A,$B19)&gt;0),"",G19-I19-H19)</f>
        <v>-8.5</v>
      </c>
      <c r="K19" s="14" t="str">
        <f>IF(OR(WEEKDAY($B19,2)&gt;5,COUNTIF(FESTIVOS!$A:$A,$B19)&gt;0),G19,"")</f>
        <v/>
      </c>
      <c r="L19" s="11"/>
    </row>
    <row r="20" spans="1:12" x14ac:dyDescent="0.3">
      <c r="A20" s="15" t="s">
        <v>20</v>
      </c>
      <c r="B20" s="16">
        <v>46249</v>
      </c>
      <c r="C20" s="17">
        <v>0</v>
      </c>
      <c r="D20" s="17">
        <v>0</v>
      </c>
      <c r="E20" s="17">
        <v>0</v>
      </c>
      <c r="F20" s="17">
        <v>0</v>
      </c>
      <c r="G20" s="18">
        <f t="shared" si="0"/>
        <v>0</v>
      </c>
      <c r="H20" s="18">
        <f>IF(OR(WEEKDAY($B20,2)&gt;5,COUNTIF(FESTIVOS!$A:$A,$B20)&gt;0),0,$H$3*24)</f>
        <v>0</v>
      </c>
      <c r="I20" s="18">
        <f>IF(OR(WEEKDAY($B20,2)&gt;5,COUNTIF(FESTIVOS!$A:$A,$B20)&gt;0),0,$I$3*24)</f>
        <v>0</v>
      </c>
      <c r="J20" s="18" t="str">
        <f>IF(OR(WEEKDAY($B20,2)&gt;5,COUNTIF(FESTIVOS!$A:$A,$B20)&gt;0),"",G20-I20-H20)</f>
        <v/>
      </c>
      <c r="K20" s="18">
        <f>IF(OR(WEEKDAY($B20,2)&gt;5,COUNTIF(FESTIVOS!$A:$A,$B20)&gt;0),G20,"")</f>
        <v>0</v>
      </c>
      <c r="L20" s="15"/>
    </row>
    <row r="21" spans="1:12" x14ac:dyDescent="0.3">
      <c r="A21" s="15" t="s">
        <v>21</v>
      </c>
      <c r="B21" s="16">
        <v>46250</v>
      </c>
      <c r="C21" s="17">
        <v>0</v>
      </c>
      <c r="D21" s="17">
        <v>0</v>
      </c>
      <c r="E21" s="17">
        <v>0</v>
      </c>
      <c r="F21" s="17">
        <v>0</v>
      </c>
      <c r="G21" s="18">
        <f t="shared" si="0"/>
        <v>0</v>
      </c>
      <c r="H21" s="18">
        <f>IF(OR(WEEKDAY($B21,2)&gt;5,COUNTIF(FESTIVOS!$A:$A,$B21)&gt;0),0,$H$3*24)</f>
        <v>0</v>
      </c>
      <c r="I21" s="18">
        <f>IF(OR(WEEKDAY($B21,2)&gt;5,COUNTIF(FESTIVOS!$A:$A,$B21)&gt;0),0,$I$3*24)</f>
        <v>0</v>
      </c>
      <c r="J21" s="18" t="str">
        <f>IF(OR(WEEKDAY($B21,2)&gt;5,COUNTIF(FESTIVOS!$A:$A,$B21)&gt;0),"",G21-I21-H21)</f>
        <v/>
      </c>
      <c r="K21" s="18">
        <f>IF(OR(WEEKDAY($B21,2)&gt;5,COUNTIF(FESTIVOS!$A:$A,$B21)&gt;0),G21,"")</f>
        <v>0</v>
      </c>
      <c r="L21" s="15"/>
    </row>
    <row r="22" spans="1:12" x14ac:dyDescent="0.3">
      <c r="A22" s="11" t="s">
        <v>15</v>
      </c>
      <c r="B22" s="12">
        <v>46251</v>
      </c>
      <c r="C22" s="13">
        <v>0</v>
      </c>
      <c r="D22" s="13">
        <v>0</v>
      </c>
      <c r="E22" s="13">
        <v>0</v>
      </c>
      <c r="F22" s="13">
        <v>0</v>
      </c>
      <c r="G22" s="14">
        <f t="shared" si="0"/>
        <v>0</v>
      </c>
      <c r="H22" s="14">
        <f>IF(OR(WEEKDAY($B22,2)&gt;5,COUNTIF(FESTIVOS!$A:$A,$B22)&gt;0),0,$H$3*24)</f>
        <v>0.49999999999999989</v>
      </c>
      <c r="I22" s="14">
        <f>IF(OR(WEEKDAY($B22,2)&gt;5,COUNTIF(FESTIVOS!$A:$A,$B22)&gt;0),0,$I$3*24)</f>
        <v>8</v>
      </c>
      <c r="J22" s="14">
        <f>IF(OR(WEEKDAY($B22,2)&gt;5,COUNTIF(FESTIVOS!$A:$A,$B22)&gt;0),"",G22-I22-H22)</f>
        <v>-8.5</v>
      </c>
      <c r="K22" s="14" t="str">
        <f>IF(OR(WEEKDAY($B22,2)&gt;5,COUNTIF(FESTIVOS!$A:$A,$B22)&gt;0),G22,"")</f>
        <v/>
      </c>
      <c r="L22" s="11"/>
    </row>
    <row r="23" spans="1:12" x14ac:dyDescent="0.3">
      <c r="A23" s="11" t="s">
        <v>16</v>
      </c>
      <c r="B23" s="12">
        <v>46252</v>
      </c>
      <c r="C23" s="13">
        <v>0</v>
      </c>
      <c r="D23" s="13">
        <v>0</v>
      </c>
      <c r="E23" s="13">
        <v>0</v>
      </c>
      <c r="F23" s="13">
        <v>0</v>
      </c>
      <c r="G23" s="14">
        <f t="shared" si="0"/>
        <v>0</v>
      </c>
      <c r="H23" s="14">
        <f>IF(OR(WEEKDAY($B23,2)&gt;5,COUNTIF(FESTIVOS!$A:$A,$B23)&gt;0),0,$H$3*24)</f>
        <v>0.49999999999999989</v>
      </c>
      <c r="I23" s="14">
        <f>IF(OR(WEEKDAY($B23,2)&gt;5,COUNTIF(FESTIVOS!$A:$A,$B23)&gt;0),0,$I$3*24)</f>
        <v>8</v>
      </c>
      <c r="J23" s="14">
        <f>IF(OR(WEEKDAY($B23,2)&gt;5,COUNTIF(FESTIVOS!$A:$A,$B23)&gt;0),"",G23-I23-H23)</f>
        <v>-8.5</v>
      </c>
      <c r="K23" s="14" t="str">
        <f>IF(OR(WEEKDAY($B23,2)&gt;5,COUNTIF(FESTIVOS!$A:$A,$B23)&gt;0),G23,"")</f>
        <v/>
      </c>
      <c r="L23" s="11"/>
    </row>
    <row r="24" spans="1:12" x14ac:dyDescent="0.3">
      <c r="A24" s="11" t="s">
        <v>17</v>
      </c>
      <c r="B24" s="12">
        <v>46253</v>
      </c>
      <c r="C24" s="13">
        <v>0</v>
      </c>
      <c r="D24" s="13">
        <v>0</v>
      </c>
      <c r="E24" s="13">
        <v>0</v>
      </c>
      <c r="F24" s="13">
        <v>0</v>
      </c>
      <c r="G24" s="14">
        <f t="shared" si="0"/>
        <v>0</v>
      </c>
      <c r="H24" s="14">
        <f>IF(OR(WEEKDAY($B24,2)&gt;5,COUNTIF(FESTIVOS!$A:$A,$B24)&gt;0),0,$H$3*24)</f>
        <v>0.49999999999999989</v>
      </c>
      <c r="I24" s="14">
        <f>IF(OR(WEEKDAY($B24,2)&gt;5,COUNTIF(FESTIVOS!$A:$A,$B24)&gt;0),0,$I$3*24)</f>
        <v>8</v>
      </c>
      <c r="J24" s="14">
        <f>IF(OR(WEEKDAY($B24,2)&gt;5,COUNTIF(FESTIVOS!$A:$A,$B24)&gt;0),"",G24-I24-H24)</f>
        <v>-8.5</v>
      </c>
      <c r="K24" s="14" t="str">
        <f>IF(OR(WEEKDAY($B24,2)&gt;5,COUNTIF(FESTIVOS!$A:$A,$B24)&gt;0),G24,"")</f>
        <v/>
      </c>
      <c r="L24" s="11"/>
    </row>
    <row r="25" spans="1:12" x14ac:dyDescent="0.3">
      <c r="A25" s="11" t="s">
        <v>18</v>
      </c>
      <c r="B25" s="12">
        <v>46254</v>
      </c>
      <c r="C25" s="13">
        <v>0</v>
      </c>
      <c r="D25" s="13">
        <v>0</v>
      </c>
      <c r="E25" s="13">
        <v>0</v>
      </c>
      <c r="F25" s="13">
        <v>0</v>
      </c>
      <c r="G25" s="14">
        <f t="shared" si="0"/>
        <v>0</v>
      </c>
      <c r="H25" s="14">
        <f>IF(OR(WEEKDAY($B25,2)&gt;5,COUNTIF(FESTIVOS!$A:$A,$B25)&gt;0),0,$H$3*24)</f>
        <v>0.49999999999999989</v>
      </c>
      <c r="I25" s="14">
        <f>IF(OR(WEEKDAY($B25,2)&gt;5,COUNTIF(FESTIVOS!$A:$A,$B25)&gt;0),0,$I$3*24)</f>
        <v>8</v>
      </c>
      <c r="J25" s="14">
        <f>IF(OR(WEEKDAY($B25,2)&gt;5,COUNTIF(FESTIVOS!$A:$A,$B25)&gt;0),"",G25-I25-H25)</f>
        <v>-8.5</v>
      </c>
      <c r="K25" s="14" t="str">
        <f>IF(OR(WEEKDAY($B25,2)&gt;5,COUNTIF(FESTIVOS!$A:$A,$B25)&gt;0),G25,"")</f>
        <v/>
      </c>
      <c r="L25" s="11"/>
    </row>
    <row r="26" spans="1:12" x14ac:dyDescent="0.3">
      <c r="A26" s="11" t="s">
        <v>19</v>
      </c>
      <c r="B26" s="12">
        <v>46255</v>
      </c>
      <c r="C26" s="13">
        <v>0</v>
      </c>
      <c r="D26" s="13">
        <v>0</v>
      </c>
      <c r="E26" s="13">
        <v>0</v>
      </c>
      <c r="F26" s="13">
        <v>0</v>
      </c>
      <c r="G26" s="14">
        <f t="shared" si="0"/>
        <v>0</v>
      </c>
      <c r="H26" s="14">
        <f>IF(OR(WEEKDAY($B26,2)&gt;5,COUNTIF(FESTIVOS!$A:$A,$B26)&gt;0),0,$H$3*24)</f>
        <v>0.49999999999999989</v>
      </c>
      <c r="I26" s="14">
        <f>IF(OR(WEEKDAY($B26,2)&gt;5,COUNTIF(FESTIVOS!$A:$A,$B26)&gt;0),0,$I$3*24)</f>
        <v>8</v>
      </c>
      <c r="J26" s="14">
        <f>IF(OR(WEEKDAY($B26,2)&gt;5,COUNTIF(FESTIVOS!$A:$A,$B26)&gt;0),"",G26-I26-H26)</f>
        <v>-8.5</v>
      </c>
      <c r="K26" s="14" t="str">
        <f>IF(OR(WEEKDAY($B26,2)&gt;5,COUNTIF(FESTIVOS!$A:$A,$B26)&gt;0),G26,"")</f>
        <v/>
      </c>
      <c r="L26" s="11"/>
    </row>
    <row r="27" spans="1:12" x14ac:dyDescent="0.3">
      <c r="A27" s="15" t="s">
        <v>20</v>
      </c>
      <c r="B27" s="16">
        <v>46256</v>
      </c>
      <c r="C27" s="17">
        <v>0</v>
      </c>
      <c r="D27" s="17">
        <v>0</v>
      </c>
      <c r="E27" s="17">
        <v>0</v>
      </c>
      <c r="F27" s="17">
        <v>0</v>
      </c>
      <c r="G27" s="18">
        <f t="shared" si="0"/>
        <v>0</v>
      </c>
      <c r="H27" s="18">
        <f>IF(OR(WEEKDAY($B27,2)&gt;5,COUNTIF(FESTIVOS!$A:$A,$B27)&gt;0),0,$H$3*24)</f>
        <v>0</v>
      </c>
      <c r="I27" s="18">
        <f>IF(OR(WEEKDAY($B27,2)&gt;5,COUNTIF(FESTIVOS!$A:$A,$B27)&gt;0),0,$I$3*24)</f>
        <v>0</v>
      </c>
      <c r="J27" s="18" t="str">
        <f>IF(OR(WEEKDAY($B27,2)&gt;5,COUNTIF(FESTIVOS!$A:$A,$B27)&gt;0),"",G27-I27-H27)</f>
        <v/>
      </c>
      <c r="K27" s="18">
        <f>IF(OR(WEEKDAY($B27,2)&gt;5,COUNTIF(FESTIVOS!$A:$A,$B27)&gt;0),G27,"")</f>
        <v>0</v>
      </c>
      <c r="L27" s="15"/>
    </row>
    <row r="28" spans="1:12" x14ac:dyDescent="0.3">
      <c r="A28" s="15" t="s">
        <v>21</v>
      </c>
      <c r="B28" s="16">
        <v>46257</v>
      </c>
      <c r="C28" s="17">
        <v>0</v>
      </c>
      <c r="D28" s="17">
        <v>0</v>
      </c>
      <c r="E28" s="17">
        <v>0</v>
      </c>
      <c r="F28" s="17">
        <v>0</v>
      </c>
      <c r="G28" s="18">
        <f t="shared" si="0"/>
        <v>0</v>
      </c>
      <c r="H28" s="18">
        <f>IF(OR(WEEKDAY($B28,2)&gt;5,COUNTIF(FESTIVOS!$A:$A,$B28)&gt;0),0,$H$3*24)</f>
        <v>0</v>
      </c>
      <c r="I28" s="18">
        <f>IF(OR(WEEKDAY($B28,2)&gt;5,COUNTIF(FESTIVOS!$A:$A,$B28)&gt;0),0,$I$3*24)</f>
        <v>0</v>
      </c>
      <c r="J28" s="18" t="str">
        <f>IF(OR(WEEKDAY($B28,2)&gt;5,COUNTIF(FESTIVOS!$A:$A,$B28)&gt;0),"",G28-I28-H28)</f>
        <v/>
      </c>
      <c r="K28" s="18">
        <f>IF(OR(WEEKDAY($B28,2)&gt;5,COUNTIF(FESTIVOS!$A:$A,$B28)&gt;0),G28,"")</f>
        <v>0</v>
      </c>
      <c r="L28" s="15"/>
    </row>
    <row r="29" spans="1:12" x14ac:dyDescent="0.3">
      <c r="A29" s="11" t="s">
        <v>15</v>
      </c>
      <c r="B29" s="12">
        <v>46258</v>
      </c>
      <c r="C29" s="13">
        <v>0</v>
      </c>
      <c r="D29" s="13">
        <v>0</v>
      </c>
      <c r="E29" s="13">
        <v>0</v>
      </c>
      <c r="F29" s="13">
        <v>0</v>
      </c>
      <c r="G29" s="14">
        <f t="shared" si="0"/>
        <v>0</v>
      </c>
      <c r="H29" s="14">
        <f>IF(OR(WEEKDAY($B29,2)&gt;5,COUNTIF(FESTIVOS!$A:$A,$B29)&gt;0),0,$H$3*24)</f>
        <v>0.49999999999999989</v>
      </c>
      <c r="I29" s="14">
        <f>IF(OR(WEEKDAY($B29,2)&gt;5,COUNTIF(FESTIVOS!$A:$A,$B29)&gt;0),0,$I$3*24)</f>
        <v>8</v>
      </c>
      <c r="J29" s="14">
        <f>IF(OR(WEEKDAY($B29,2)&gt;5,COUNTIF(FESTIVOS!$A:$A,$B29)&gt;0),"",G29-I29-H29)</f>
        <v>-8.5</v>
      </c>
      <c r="K29" s="14" t="str">
        <f>IF(OR(WEEKDAY($B29,2)&gt;5,COUNTIF(FESTIVOS!$A:$A,$B29)&gt;0),G29,"")</f>
        <v/>
      </c>
      <c r="L29" s="11"/>
    </row>
    <row r="30" spans="1:12" x14ac:dyDescent="0.3">
      <c r="A30" s="11" t="s">
        <v>16</v>
      </c>
      <c r="B30" s="12">
        <v>46259</v>
      </c>
      <c r="C30" s="13">
        <v>0</v>
      </c>
      <c r="D30" s="13">
        <v>0</v>
      </c>
      <c r="E30" s="13">
        <v>0</v>
      </c>
      <c r="F30" s="13">
        <v>0</v>
      </c>
      <c r="G30" s="14">
        <f t="shared" si="0"/>
        <v>0</v>
      </c>
      <c r="H30" s="14">
        <f>IF(OR(WEEKDAY($B30,2)&gt;5,COUNTIF(FESTIVOS!$A:$A,$B30)&gt;0),0,$H$3*24)</f>
        <v>0.49999999999999989</v>
      </c>
      <c r="I30" s="14">
        <f>IF(OR(WEEKDAY($B30,2)&gt;5,COUNTIF(FESTIVOS!$A:$A,$B30)&gt;0),0,$I$3*24)</f>
        <v>8</v>
      </c>
      <c r="J30" s="14">
        <f>IF(OR(WEEKDAY($B30,2)&gt;5,COUNTIF(FESTIVOS!$A:$A,$B30)&gt;0),"",G30-I30-H30)</f>
        <v>-8.5</v>
      </c>
      <c r="K30" s="14" t="str">
        <f>IF(OR(WEEKDAY($B30,2)&gt;5,COUNTIF(FESTIVOS!$A:$A,$B30)&gt;0),G30,"")</f>
        <v/>
      </c>
      <c r="L30" s="11"/>
    </row>
    <row r="31" spans="1:12" x14ac:dyDescent="0.3">
      <c r="A31" s="11" t="s">
        <v>17</v>
      </c>
      <c r="B31" s="12">
        <v>46260</v>
      </c>
      <c r="C31" s="13">
        <v>0</v>
      </c>
      <c r="D31" s="13">
        <v>0</v>
      </c>
      <c r="E31" s="13">
        <v>0</v>
      </c>
      <c r="F31" s="13">
        <v>0</v>
      </c>
      <c r="G31" s="14">
        <f t="shared" si="0"/>
        <v>0</v>
      </c>
      <c r="H31" s="14">
        <f>IF(OR(WEEKDAY($B31,2)&gt;5,COUNTIF(FESTIVOS!$A:$A,$B31)&gt;0),0,$H$3*24)</f>
        <v>0.49999999999999989</v>
      </c>
      <c r="I31" s="14">
        <f>IF(OR(WEEKDAY($B31,2)&gt;5,COUNTIF(FESTIVOS!$A:$A,$B31)&gt;0),0,$I$3*24)</f>
        <v>8</v>
      </c>
      <c r="J31" s="14">
        <f>IF(OR(WEEKDAY($B31,2)&gt;5,COUNTIF(FESTIVOS!$A:$A,$B31)&gt;0),"",G31-I31-H31)</f>
        <v>-8.5</v>
      </c>
      <c r="K31" s="14" t="str">
        <f>IF(OR(WEEKDAY($B31,2)&gt;5,COUNTIF(FESTIVOS!$A:$A,$B31)&gt;0),G31,"")</f>
        <v/>
      </c>
      <c r="L31" s="11"/>
    </row>
    <row r="32" spans="1:12" x14ac:dyDescent="0.3">
      <c r="A32" s="11" t="s">
        <v>18</v>
      </c>
      <c r="B32" s="12">
        <v>46261</v>
      </c>
      <c r="C32" s="13">
        <v>0</v>
      </c>
      <c r="D32" s="13">
        <v>0</v>
      </c>
      <c r="E32" s="13">
        <v>0</v>
      </c>
      <c r="F32" s="13">
        <v>0</v>
      </c>
      <c r="G32" s="14">
        <f t="shared" si="0"/>
        <v>0</v>
      </c>
      <c r="H32" s="14">
        <f>IF(OR(WEEKDAY($B32,2)&gt;5,COUNTIF(FESTIVOS!$A:$A,$B32)&gt;0),0,$H$3*24)</f>
        <v>0.49999999999999989</v>
      </c>
      <c r="I32" s="14">
        <f>IF(OR(WEEKDAY($B32,2)&gt;5,COUNTIF(FESTIVOS!$A:$A,$B32)&gt;0),0,$I$3*24)</f>
        <v>8</v>
      </c>
      <c r="J32" s="14">
        <f>IF(OR(WEEKDAY($B32,2)&gt;5,COUNTIF(FESTIVOS!$A:$A,$B32)&gt;0),"",G32-I32-H32)</f>
        <v>-8.5</v>
      </c>
      <c r="K32" s="14" t="str">
        <f>IF(OR(WEEKDAY($B32,2)&gt;5,COUNTIF(FESTIVOS!$A:$A,$B32)&gt;0),G32,"")</f>
        <v/>
      </c>
      <c r="L32" s="11"/>
    </row>
    <row r="33" spans="1:12" x14ac:dyDescent="0.3">
      <c r="A33" s="11" t="s">
        <v>19</v>
      </c>
      <c r="B33" s="12">
        <v>46262</v>
      </c>
      <c r="C33" s="13">
        <v>0</v>
      </c>
      <c r="D33" s="13">
        <v>0</v>
      </c>
      <c r="E33" s="13">
        <v>0</v>
      </c>
      <c r="F33" s="13">
        <v>0</v>
      </c>
      <c r="G33" s="14">
        <f t="shared" si="0"/>
        <v>0</v>
      </c>
      <c r="H33" s="14">
        <f>IF(OR(WEEKDAY($B33,2)&gt;5,COUNTIF(FESTIVOS!$A:$A,$B33)&gt;0),0,$H$3*24)</f>
        <v>0.49999999999999989</v>
      </c>
      <c r="I33" s="14">
        <f>IF(OR(WEEKDAY($B33,2)&gt;5,COUNTIF(FESTIVOS!$A:$A,$B33)&gt;0),0,$I$3*24)</f>
        <v>8</v>
      </c>
      <c r="J33" s="14">
        <f>IF(OR(WEEKDAY($B33,2)&gt;5,COUNTIF(FESTIVOS!$A:$A,$B33)&gt;0),"",G33-I33-H33)</f>
        <v>-8.5</v>
      </c>
      <c r="K33" s="14" t="str">
        <f>IF(OR(WEEKDAY($B33,2)&gt;5,COUNTIF(FESTIVOS!$A:$A,$B33)&gt;0),G33,"")</f>
        <v/>
      </c>
      <c r="L33" s="11"/>
    </row>
    <row r="34" spans="1:12" x14ac:dyDescent="0.3">
      <c r="A34" s="15" t="s">
        <v>20</v>
      </c>
      <c r="B34" s="16">
        <v>46263</v>
      </c>
      <c r="C34" s="17">
        <v>0</v>
      </c>
      <c r="D34" s="17">
        <v>0</v>
      </c>
      <c r="E34" s="17">
        <v>0</v>
      </c>
      <c r="F34" s="17">
        <v>0</v>
      </c>
      <c r="G34" s="18">
        <f t="shared" si="0"/>
        <v>0</v>
      </c>
      <c r="H34" s="18">
        <f>IF(OR(WEEKDAY($B34,2)&gt;5,COUNTIF(FESTIVOS!$A:$A,$B34)&gt;0),0,$H$3*24)</f>
        <v>0</v>
      </c>
      <c r="I34" s="18">
        <f>IF(OR(WEEKDAY($B34,2)&gt;5,COUNTIF(FESTIVOS!$A:$A,$B34)&gt;0),0,$I$3*24)</f>
        <v>0</v>
      </c>
      <c r="J34" s="18" t="str">
        <f>IF(OR(WEEKDAY($B34,2)&gt;5,COUNTIF(FESTIVOS!$A:$A,$B34)&gt;0),"",G34-I34-H34)</f>
        <v/>
      </c>
      <c r="K34" s="18">
        <f>IF(OR(WEEKDAY($B34,2)&gt;5,COUNTIF(FESTIVOS!$A:$A,$B34)&gt;0),G34,"")</f>
        <v>0</v>
      </c>
      <c r="L34" s="15"/>
    </row>
    <row r="35" spans="1:12" x14ac:dyDescent="0.3">
      <c r="A35" s="15" t="s">
        <v>21</v>
      </c>
      <c r="B35" s="16">
        <v>46264</v>
      </c>
      <c r="C35" s="17">
        <v>0</v>
      </c>
      <c r="D35" s="17">
        <v>0</v>
      </c>
      <c r="E35" s="17">
        <v>0</v>
      </c>
      <c r="F35" s="17">
        <v>0</v>
      </c>
      <c r="G35" s="18">
        <f t="shared" si="0"/>
        <v>0</v>
      </c>
      <c r="H35" s="18">
        <f>IF(OR(WEEKDAY($B35,2)&gt;5,COUNTIF(FESTIVOS!$A:$A,$B35)&gt;0),0,$H$3*24)</f>
        <v>0</v>
      </c>
      <c r="I35" s="18">
        <f>IF(OR(WEEKDAY($B35,2)&gt;5,COUNTIF(FESTIVOS!$A:$A,$B35)&gt;0),0,$I$3*24)</f>
        <v>0</v>
      </c>
      <c r="J35" s="18" t="str">
        <f>IF(OR(WEEKDAY($B35,2)&gt;5,COUNTIF(FESTIVOS!$A:$A,$B35)&gt;0),"",G35-I35-H35)</f>
        <v/>
      </c>
      <c r="K35" s="18">
        <f>IF(OR(WEEKDAY($B35,2)&gt;5,COUNTIF(FESTIVOS!$A:$A,$B35)&gt;0),G35,"")</f>
        <v>0</v>
      </c>
      <c r="L35" s="15"/>
    </row>
    <row r="36" spans="1:12" x14ac:dyDescent="0.3">
      <c r="A36" s="11" t="s">
        <v>15</v>
      </c>
      <c r="B36" s="12">
        <v>46265</v>
      </c>
      <c r="C36" s="13">
        <v>0</v>
      </c>
      <c r="D36" s="13">
        <v>0</v>
      </c>
      <c r="E36" s="13">
        <v>0</v>
      </c>
      <c r="F36" s="13">
        <v>0</v>
      </c>
      <c r="G36" s="14">
        <f t="shared" si="0"/>
        <v>0</v>
      </c>
      <c r="H36" s="14">
        <f>IF(OR(WEEKDAY($B36,2)&gt;5,COUNTIF(FESTIVOS!$A:$A,$B36)&gt;0),0,$H$3*24)</f>
        <v>0.49999999999999989</v>
      </c>
      <c r="I36" s="14">
        <f>IF(OR(WEEKDAY($B36,2)&gt;5,COUNTIF(FESTIVOS!$A:$A,$B36)&gt;0),0,$I$3*24)</f>
        <v>8</v>
      </c>
      <c r="J36" s="14">
        <f>IF(OR(WEEKDAY($B36,2)&gt;5,COUNTIF(FESTIVOS!$A:$A,$B36)&gt;0),"",G36-I36-H36)</f>
        <v>-8.5</v>
      </c>
      <c r="K36" s="14" t="str">
        <f>IF(OR(WEEKDAY($B36,2)&gt;5,COUNTIF(FESTIVOS!$A:$A,$B36)&gt;0),G36,"")</f>
        <v/>
      </c>
      <c r="L36" s="11"/>
    </row>
  </sheetData>
  <mergeCells count="1">
    <mergeCell ref="C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5"/>
  <sheetViews>
    <sheetView workbookViewId="0">
      <selection activeCell="E13" sqref="E13"/>
    </sheetView>
  </sheetViews>
  <sheetFormatPr baseColWidth="10" defaultColWidth="8.42578125" defaultRowHeight="16.5" x14ac:dyDescent="0.3"/>
  <cols>
    <col min="1" max="1" width="4.7109375" style="2" bestFit="1" customWidth="1"/>
    <col min="2" max="2" width="13.85546875" style="2" bestFit="1" customWidth="1"/>
    <col min="3" max="3" width="11.85546875" style="2" bestFit="1" customWidth="1"/>
    <col min="4" max="4" width="9.7109375" style="2" bestFit="1" customWidth="1"/>
    <col min="5" max="5" width="11.85546875" style="2" bestFit="1" customWidth="1"/>
    <col min="6" max="6" width="12.85546875" style="2" bestFit="1" customWidth="1"/>
    <col min="7" max="7" width="9.7109375" style="2" bestFit="1" customWidth="1"/>
    <col min="8" max="8" width="14.7109375" style="2" bestFit="1" customWidth="1"/>
    <col min="9" max="9" width="8" style="2" bestFit="1" customWidth="1"/>
    <col min="10" max="10" width="9.28515625" style="2" bestFit="1" customWidth="1"/>
    <col min="11" max="11" width="17.5703125" style="2" bestFit="1" customWidth="1"/>
    <col min="12" max="12" width="20.140625" style="2" bestFit="1" customWidth="1"/>
    <col min="13" max="13" width="8.42578125" style="2"/>
    <col min="14" max="14" width="11.5703125" style="2" bestFit="1" customWidth="1"/>
    <col min="15" max="15" width="22.85546875" style="2" bestFit="1" customWidth="1"/>
    <col min="16" max="16" width="11.5703125" style="2" bestFit="1" customWidth="1"/>
    <col min="17" max="16384" width="8.42578125" style="2"/>
  </cols>
  <sheetData>
    <row r="1" spans="1:16" ht="18" x14ac:dyDescent="0.35">
      <c r="N1" s="3">
        <v>9</v>
      </c>
      <c r="O1" s="3">
        <v>10</v>
      </c>
    </row>
    <row r="2" spans="1:16" ht="18" x14ac:dyDescent="0.35">
      <c r="C2" s="4" t="s">
        <v>0</v>
      </c>
      <c r="D2" s="5"/>
      <c r="F2" s="6" t="s">
        <v>1</v>
      </c>
      <c r="N2" s="6" t="s">
        <v>2</v>
      </c>
      <c r="O2" s="6" t="s">
        <v>3</v>
      </c>
    </row>
    <row r="3" spans="1:16" ht="18" x14ac:dyDescent="0.35">
      <c r="F3" s="6" t="s">
        <v>30</v>
      </c>
      <c r="H3" s="7">
        <v>2.0833333333333329E-2</v>
      </c>
      <c r="I3" s="7">
        <v>0.33333333333333331</v>
      </c>
      <c r="N3" s="8" t="e">
        <f>SUMPRODUCT((J6:J35&gt;0)*(J6:J35))</f>
        <v>#VALUE!</v>
      </c>
      <c r="O3" s="8">
        <f>SUM(K6:K35)</f>
        <v>0</v>
      </c>
    </row>
    <row r="4" spans="1:16" ht="18" x14ac:dyDescent="0.35">
      <c r="P4" s="6" t="s">
        <v>5</v>
      </c>
    </row>
    <row r="5" spans="1:16" ht="18" x14ac:dyDescent="0.35">
      <c r="A5" s="9" t="s">
        <v>6</v>
      </c>
      <c r="B5" s="9" t="s">
        <v>7</v>
      </c>
      <c r="C5" s="9" t="s">
        <v>8</v>
      </c>
      <c r="D5" s="9" t="s">
        <v>9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2</v>
      </c>
      <c r="K5" s="9" t="s">
        <v>13</v>
      </c>
      <c r="L5" s="9" t="s">
        <v>14</v>
      </c>
      <c r="N5" s="10" t="e">
        <f>N3*N1</f>
        <v>#VALUE!</v>
      </c>
      <c r="O5" s="10">
        <f>O3*O1</f>
        <v>0</v>
      </c>
      <c r="P5" s="10" t="e">
        <f>N5+O5</f>
        <v>#VALUE!</v>
      </c>
    </row>
    <row r="6" spans="1:16" x14ac:dyDescent="0.3">
      <c r="A6" s="11" t="s">
        <v>16</v>
      </c>
      <c r="B6" s="12">
        <v>46266</v>
      </c>
      <c r="C6" s="13">
        <v>0</v>
      </c>
      <c r="D6" s="13">
        <v>0</v>
      </c>
      <c r="E6" s="13">
        <v>0</v>
      </c>
      <c r="F6" s="13">
        <v>0</v>
      </c>
      <c r="G6" s="14">
        <f t="shared" ref="G6:G35" si="0">IF(AND(C6="",D6="",E6="",F6=""),0,(F6-E6+D6-C6)*24)</f>
        <v>0</v>
      </c>
      <c r="H6" s="14">
        <f>IF(OR(WEEKDAY($B6,2)&gt;5,COUNTIF(FESTIVOS!$A:$A,$B6)&gt;0),0,$H$3*24)</f>
        <v>0.49999999999999989</v>
      </c>
      <c r="I6" s="14">
        <f>IF(OR(WEEKDAY($B6,2)&gt;5,COUNTIF(FESTIVOS!$A:$A,$B6)&gt;0),0,$I$3*24)</f>
        <v>8</v>
      </c>
      <c r="J6" s="14">
        <f>IF(OR(WEEKDAY($B6,2)&gt;5,COUNTIF(FESTIVOS!$A:$A,$B6)&gt;0),"",G6-I6-H6)</f>
        <v>-8.5</v>
      </c>
      <c r="K6" s="14" t="str">
        <f>IF(OR(WEEKDAY($B6,2)&gt;5,COUNTIF(FESTIVOS!$A:$A,$B6)&gt;0),G6,"")</f>
        <v/>
      </c>
      <c r="L6" s="11"/>
    </row>
    <row r="7" spans="1:16" x14ac:dyDescent="0.3">
      <c r="A7" s="11" t="s">
        <v>17</v>
      </c>
      <c r="B7" s="12">
        <v>46267</v>
      </c>
      <c r="C7" s="13">
        <v>0</v>
      </c>
      <c r="D7" s="13">
        <v>0</v>
      </c>
      <c r="E7" s="13">
        <v>0</v>
      </c>
      <c r="F7" s="13">
        <v>0</v>
      </c>
      <c r="G7" s="14">
        <f t="shared" si="0"/>
        <v>0</v>
      </c>
      <c r="H7" s="14">
        <f>IF(OR(WEEKDAY($B7,2)&gt;5,COUNTIF(FESTIVOS!$A:$A,$B7)&gt;0),0,$H$3*24)</f>
        <v>0.49999999999999989</v>
      </c>
      <c r="I7" s="14">
        <f>IF(OR(WEEKDAY($B7,2)&gt;5,COUNTIF(FESTIVOS!$A:$A,$B7)&gt;0),0,$I$3*24)</f>
        <v>8</v>
      </c>
      <c r="J7" s="14">
        <f>IF(OR(WEEKDAY($B7,2)&gt;5,COUNTIF(FESTIVOS!$A:$A,$B7)&gt;0),"",G7-I7-H7)</f>
        <v>-8.5</v>
      </c>
      <c r="K7" s="14" t="str">
        <f>IF(OR(WEEKDAY($B7,2)&gt;5,COUNTIF(FESTIVOS!$A:$A,$B7)&gt;0),G7,"")</f>
        <v/>
      </c>
      <c r="L7" s="11"/>
    </row>
    <row r="8" spans="1:16" x14ac:dyDescent="0.3">
      <c r="A8" s="11" t="s">
        <v>18</v>
      </c>
      <c r="B8" s="12">
        <v>46268</v>
      </c>
      <c r="C8" s="13">
        <v>0</v>
      </c>
      <c r="D8" s="13">
        <v>0</v>
      </c>
      <c r="E8" s="13">
        <v>0</v>
      </c>
      <c r="F8" s="13">
        <v>0</v>
      </c>
      <c r="G8" s="14">
        <f t="shared" si="0"/>
        <v>0</v>
      </c>
      <c r="H8" s="14">
        <f>IF(OR(WEEKDAY($B8,2)&gt;5,COUNTIF(FESTIVOS!$A:$A,$B8)&gt;0),0,$H$3*24)</f>
        <v>0.49999999999999989</v>
      </c>
      <c r="I8" s="14">
        <f>IF(OR(WEEKDAY($B8,2)&gt;5,COUNTIF(FESTIVOS!$A:$A,$B8)&gt;0),0,$I$3*24)</f>
        <v>8</v>
      </c>
      <c r="J8" s="14">
        <f>IF(OR(WEEKDAY($B8,2)&gt;5,COUNTIF(FESTIVOS!$A:$A,$B8)&gt;0),"",G8-I8-H8)</f>
        <v>-8.5</v>
      </c>
      <c r="K8" s="14" t="str">
        <f>IF(OR(WEEKDAY($B8,2)&gt;5,COUNTIF(FESTIVOS!$A:$A,$B8)&gt;0),G8,"")</f>
        <v/>
      </c>
      <c r="L8" s="11"/>
    </row>
    <row r="9" spans="1:16" x14ac:dyDescent="0.3">
      <c r="A9" s="11" t="s">
        <v>19</v>
      </c>
      <c r="B9" s="12">
        <v>46269</v>
      </c>
      <c r="C9" s="13">
        <v>0</v>
      </c>
      <c r="D9" s="13">
        <v>0</v>
      </c>
      <c r="E9" s="13">
        <v>0</v>
      </c>
      <c r="F9" s="13">
        <v>0</v>
      </c>
      <c r="G9" s="14">
        <f t="shared" si="0"/>
        <v>0</v>
      </c>
      <c r="H9" s="14">
        <f>IF(OR(WEEKDAY($B9,2)&gt;5,COUNTIF(FESTIVOS!$A:$A,$B9)&gt;0),0,$H$3*24)</f>
        <v>0.49999999999999989</v>
      </c>
      <c r="I9" s="14">
        <f>IF(OR(WEEKDAY($B9,2)&gt;5,COUNTIF(FESTIVOS!$A:$A,$B9)&gt;0),0,$I$3*24)</f>
        <v>8</v>
      </c>
      <c r="J9" s="14">
        <f>IF(OR(WEEKDAY($B9,2)&gt;5,COUNTIF(FESTIVOS!$A:$A,$B9)&gt;0),"",G9-I9-H9)</f>
        <v>-8.5</v>
      </c>
      <c r="K9" s="14" t="str">
        <f>IF(OR(WEEKDAY($B9,2)&gt;5,COUNTIF(FESTIVOS!$A:$A,$B9)&gt;0),G9,"")</f>
        <v/>
      </c>
      <c r="L9" s="11"/>
    </row>
    <row r="10" spans="1:16" x14ac:dyDescent="0.3">
      <c r="A10" s="15" t="s">
        <v>20</v>
      </c>
      <c r="B10" s="16">
        <v>46270</v>
      </c>
      <c r="C10" s="17">
        <v>0</v>
      </c>
      <c r="D10" s="17">
        <v>0</v>
      </c>
      <c r="E10" s="17">
        <v>0</v>
      </c>
      <c r="F10" s="17">
        <v>0</v>
      </c>
      <c r="G10" s="18">
        <f t="shared" si="0"/>
        <v>0</v>
      </c>
      <c r="H10" s="18">
        <f>IF(OR(WEEKDAY($B10,2)&gt;5,COUNTIF(FESTIVOS!$A:$A,$B10)&gt;0),0,$H$3*24)</f>
        <v>0</v>
      </c>
      <c r="I10" s="18">
        <f>IF(OR(WEEKDAY($B10,2)&gt;5,COUNTIF(FESTIVOS!$A:$A,$B10)&gt;0),0,$I$3*24)</f>
        <v>0</v>
      </c>
      <c r="J10" s="18" t="str">
        <f>IF(OR(WEEKDAY($B10,2)&gt;5,COUNTIF(FESTIVOS!$A:$A,$B10)&gt;0),"",G10-I10-H10)</f>
        <v/>
      </c>
      <c r="K10" s="18">
        <f>IF(OR(WEEKDAY($B10,2)&gt;5,COUNTIF(FESTIVOS!$A:$A,$B10)&gt;0),G10,"")</f>
        <v>0</v>
      </c>
      <c r="L10" s="15"/>
    </row>
    <row r="11" spans="1:16" x14ac:dyDescent="0.3">
      <c r="A11" s="15" t="s">
        <v>21</v>
      </c>
      <c r="B11" s="16">
        <v>46271</v>
      </c>
      <c r="C11" s="17">
        <v>0</v>
      </c>
      <c r="D11" s="17">
        <v>0</v>
      </c>
      <c r="E11" s="17">
        <v>0</v>
      </c>
      <c r="F11" s="17">
        <v>0</v>
      </c>
      <c r="G11" s="18">
        <f t="shared" si="0"/>
        <v>0</v>
      </c>
      <c r="H11" s="18">
        <f>IF(OR(WEEKDAY($B11,2)&gt;5,COUNTIF(FESTIVOS!$A:$A,$B11)&gt;0),0,$H$3*24)</f>
        <v>0</v>
      </c>
      <c r="I11" s="18">
        <f>IF(OR(WEEKDAY($B11,2)&gt;5,COUNTIF(FESTIVOS!$A:$A,$B11)&gt;0),0,$I$3*24)</f>
        <v>0</v>
      </c>
      <c r="J11" s="18" t="str">
        <f>IF(OR(WEEKDAY($B11,2)&gt;5,COUNTIF(FESTIVOS!$A:$A,$B11)&gt;0),"",G11-I11-H11)</f>
        <v/>
      </c>
      <c r="K11" s="18">
        <f>IF(OR(WEEKDAY($B11,2)&gt;5,COUNTIF(FESTIVOS!$A:$A,$B11)&gt;0),G11,"")</f>
        <v>0</v>
      </c>
      <c r="L11" s="15"/>
    </row>
    <row r="12" spans="1:16" x14ac:dyDescent="0.3">
      <c r="A12" s="11" t="s">
        <v>15</v>
      </c>
      <c r="B12" s="12">
        <v>46272</v>
      </c>
      <c r="C12" s="13">
        <v>0</v>
      </c>
      <c r="D12" s="13">
        <v>0</v>
      </c>
      <c r="E12" s="13">
        <v>0</v>
      </c>
      <c r="F12" s="13">
        <v>0</v>
      </c>
      <c r="G12" s="14">
        <f t="shared" si="0"/>
        <v>0</v>
      </c>
      <c r="H12" s="14">
        <f>IF(OR(WEEKDAY($B12,2)&gt;5,COUNTIF(FESTIVOS!$A:$A,$B12)&gt;0),0,$H$3*24)</f>
        <v>0.49999999999999989</v>
      </c>
      <c r="I12" s="14">
        <f>IF(OR(WEEKDAY($B12,2)&gt;5,COUNTIF(FESTIVOS!$A:$A,$B12)&gt;0),0,$I$3*24)</f>
        <v>8</v>
      </c>
      <c r="J12" s="14">
        <f>IF(OR(WEEKDAY($B12,2)&gt;5,COUNTIF(FESTIVOS!$A:$A,$B12)&gt;0),"",G12-I12-H12)</f>
        <v>-8.5</v>
      </c>
      <c r="K12" s="14" t="str">
        <f>IF(OR(WEEKDAY($B12,2)&gt;5,COUNTIF(FESTIVOS!$A:$A,$B12)&gt;0),G12,"")</f>
        <v/>
      </c>
      <c r="L12" s="11"/>
    </row>
    <row r="13" spans="1:16" x14ac:dyDescent="0.3">
      <c r="A13" s="11" t="s">
        <v>16</v>
      </c>
      <c r="B13" s="12">
        <v>46273</v>
      </c>
      <c r="C13" s="13">
        <v>0</v>
      </c>
      <c r="D13" s="13">
        <v>0</v>
      </c>
      <c r="E13" s="13">
        <v>0</v>
      </c>
      <c r="F13" s="13">
        <v>0</v>
      </c>
      <c r="G13" s="14">
        <f t="shared" si="0"/>
        <v>0</v>
      </c>
      <c r="H13" s="14">
        <f>IF(OR(WEEKDAY($B13,2)&gt;5,COUNTIF(FESTIVOS!$A:$A,$B13)&gt;0),0,$H$3*24)</f>
        <v>0.49999999999999989</v>
      </c>
      <c r="I13" s="14">
        <f>IF(OR(WEEKDAY($B13,2)&gt;5,COUNTIF(FESTIVOS!$A:$A,$B13)&gt;0),0,$I$3*24)</f>
        <v>8</v>
      </c>
      <c r="J13" s="14">
        <f>IF(OR(WEEKDAY($B13,2)&gt;5,COUNTIF(FESTIVOS!$A:$A,$B13)&gt;0),"",G13-I13-H13)</f>
        <v>-8.5</v>
      </c>
      <c r="K13" s="14" t="str">
        <f>IF(OR(WEEKDAY($B13,2)&gt;5,COUNTIF(FESTIVOS!$A:$A,$B13)&gt;0),G13,"")</f>
        <v/>
      </c>
      <c r="L13" s="11"/>
    </row>
    <row r="14" spans="1:16" x14ac:dyDescent="0.3">
      <c r="A14" s="11" t="s">
        <v>17</v>
      </c>
      <c r="B14" s="12">
        <v>46274</v>
      </c>
      <c r="C14" s="13">
        <v>0</v>
      </c>
      <c r="D14" s="13">
        <v>0</v>
      </c>
      <c r="E14" s="13">
        <v>0</v>
      </c>
      <c r="F14" s="13">
        <v>0</v>
      </c>
      <c r="G14" s="14">
        <f t="shared" si="0"/>
        <v>0</v>
      </c>
      <c r="H14" s="14">
        <f>IF(OR(WEEKDAY($B14,2)&gt;5,COUNTIF(FESTIVOS!$A:$A,$B14)&gt;0),0,$H$3*24)</f>
        <v>0.49999999999999989</v>
      </c>
      <c r="I14" s="14">
        <f>IF(OR(WEEKDAY($B14,2)&gt;5,COUNTIF(FESTIVOS!$A:$A,$B14)&gt;0),0,$I$3*24)</f>
        <v>8</v>
      </c>
      <c r="J14" s="14">
        <f>IF(OR(WEEKDAY($B14,2)&gt;5,COUNTIF(FESTIVOS!$A:$A,$B14)&gt;0),"",G14-I14-H14)</f>
        <v>-8.5</v>
      </c>
      <c r="K14" s="14" t="str">
        <f>IF(OR(WEEKDAY($B14,2)&gt;5,COUNTIF(FESTIVOS!$A:$A,$B14)&gt;0),G14,"")</f>
        <v/>
      </c>
      <c r="L14" s="11"/>
    </row>
    <row r="15" spans="1:16" x14ac:dyDescent="0.3">
      <c r="A15" s="11" t="s">
        <v>18</v>
      </c>
      <c r="B15" s="12">
        <v>46275</v>
      </c>
      <c r="C15" s="13">
        <v>0</v>
      </c>
      <c r="D15" s="13">
        <v>0</v>
      </c>
      <c r="E15" s="13">
        <v>0</v>
      </c>
      <c r="F15" s="13">
        <v>0</v>
      </c>
      <c r="G15" s="14">
        <f t="shared" si="0"/>
        <v>0</v>
      </c>
      <c r="H15" s="14">
        <f>IF(OR(WEEKDAY($B15,2)&gt;5,COUNTIF(FESTIVOS!$A:$A,$B15)&gt;0),0,$H$3*24)</f>
        <v>0.49999999999999989</v>
      </c>
      <c r="I15" s="14">
        <f>IF(OR(WEEKDAY($B15,2)&gt;5,COUNTIF(FESTIVOS!$A:$A,$B15)&gt;0),0,$I$3*24)</f>
        <v>8</v>
      </c>
      <c r="J15" s="14">
        <f>IF(OR(WEEKDAY($B15,2)&gt;5,COUNTIF(FESTIVOS!$A:$A,$B15)&gt;0),"",G15-I15-H15)</f>
        <v>-8.5</v>
      </c>
      <c r="K15" s="14" t="str">
        <f>IF(OR(WEEKDAY($B15,2)&gt;5,COUNTIF(FESTIVOS!$A:$A,$B15)&gt;0),G15,"")</f>
        <v/>
      </c>
      <c r="L15" s="11"/>
    </row>
    <row r="16" spans="1:16" x14ac:dyDescent="0.3">
      <c r="A16" s="11" t="s">
        <v>19</v>
      </c>
      <c r="B16" s="12">
        <v>46276</v>
      </c>
      <c r="C16" s="13">
        <v>0</v>
      </c>
      <c r="D16" s="13">
        <v>0</v>
      </c>
      <c r="E16" s="13">
        <v>0</v>
      </c>
      <c r="F16" s="13">
        <v>0</v>
      </c>
      <c r="G16" s="14">
        <f t="shared" si="0"/>
        <v>0</v>
      </c>
      <c r="H16" s="14">
        <f>IF(OR(WEEKDAY($B16,2)&gt;5,COUNTIF(FESTIVOS!$A:$A,$B16)&gt;0),0,$H$3*24)</f>
        <v>0.49999999999999989</v>
      </c>
      <c r="I16" s="14">
        <f>IF(OR(WEEKDAY($B16,2)&gt;5,COUNTIF(FESTIVOS!$A:$A,$B16)&gt;0),0,$I$3*24)</f>
        <v>8</v>
      </c>
      <c r="J16" s="14">
        <f>IF(OR(WEEKDAY($B16,2)&gt;5,COUNTIF(FESTIVOS!$A:$A,$B16)&gt;0),"",G16-I16-H16)</f>
        <v>-8.5</v>
      </c>
      <c r="K16" s="14" t="str">
        <f>IF(OR(WEEKDAY($B16,2)&gt;5,COUNTIF(FESTIVOS!$A:$A,$B16)&gt;0),G16,"")</f>
        <v/>
      </c>
      <c r="L16" s="11"/>
    </row>
    <row r="17" spans="1:12" x14ac:dyDescent="0.3">
      <c r="A17" s="15" t="s">
        <v>20</v>
      </c>
      <c r="B17" s="16">
        <v>46277</v>
      </c>
      <c r="C17" s="17">
        <v>0</v>
      </c>
      <c r="D17" s="17">
        <v>0</v>
      </c>
      <c r="E17" s="17">
        <v>0</v>
      </c>
      <c r="F17" s="17">
        <v>0</v>
      </c>
      <c r="G17" s="18">
        <f t="shared" si="0"/>
        <v>0</v>
      </c>
      <c r="H17" s="18">
        <f>IF(OR(WEEKDAY($B17,2)&gt;5,COUNTIF(FESTIVOS!$A:$A,$B17)&gt;0),0,$H$3*24)</f>
        <v>0</v>
      </c>
      <c r="I17" s="18">
        <f>IF(OR(WEEKDAY($B17,2)&gt;5,COUNTIF(FESTIVOS!$A:$A,$B17)&gt;0),0,$I$3*24)</f>
        <v>0</v>
      </c>
      <c r="J17" s="18" t="str">
        <f>IF(OR(WEEKDAY($B17,2)&gt;5,COUNTIF(FESTIVOS!$A:$A,$B17)&gt;0),"",G17-I17-H17)</f>
        <v/>
      </c>
      <c r="K17" s="18">
        <f>IF(OR(WEEKDAY($B17,2)&gt;5,COUNTIF(FESTIVOS!$A:$A,$B17)&gt;0),G17,"")</f>
        <v>0</v>
      </c>
      <c r="L17" s="15"/>
    </row>
    <row r="18" spans="1:12" x14ac:dyDescent="0.3">
      <c r="A18" s="15" t="s">
        <v>21</v>
      </c>
      <c r="B18" s="16">
        <v>46278</v>
      </c>
      <c r="C18" s="17">
        <v>0</v>
      </c>
      <c r="D18" s="17">
        <v>0</v>
      </c>
      <c r="E18" s="17">
        <v>0</v>
      </c>
      <c r="F18" s="17">
        <v>0</v>
      </c>
      <c r="G18" s="18">
        <f t="shared" si="0"/>
        <v>0</v>
      </c>
      <c r="H18" s="18">
        <f>IF(OR(WEEKDAY($B18,2)&gt;5,COUNTIF(FESTIVOS!$A:$A,$B18)&gt;0),0,$H$3*24)</f>
        <v>0</v>
      </c>
      <c r="I18" s="18">
        <f>IF(OR(WEEKDAY($B18,2)&gt;5,COUNTIF(FESTIVOS!$A:$A,$B18)&gt;0),0,$I$3*24)</f>
        <v>0</v>
      </c>
      <c r="J18" s="18" t="str">
        <f>IF(OR(WEEKDAY($B18,2)&gt;5,COUNTIF(FESTIVOS!$A:$A,$B18)&gt;0),"",G18-I18-H18)</f>
        <v/>
      </c>
      <c r="K18" s="18">
        <f>IF(OR(WEEKDAY($B18,2)&gt;5,COUNTIF(FESTIVOS!$A:$A,$B18)&gt;0),G18,"")</f>
        <v>0</v>
      </c>
      <c r="L18" s="15"/>
    </row>
    <row r="19" spans="1:12" x14ac:dyDescent="0.3">
      <c r="A19" s="11" t="s">
        <v>15</v>
      </c>
      <c r="B19" s="12">
        <v>46279</v>
      </c>
      <c r="C19" s="13">
        <v>0</v>
      </c>
      <c r="D19" s="13">
        <v>0</v>
      </c>
      <c r="E19" s="13">
        <v>0</v>
      </c>
      <c r="F19" s="13">
        <v>0</v>
      </c>
      <c r="G19" s="14">
        <f t="shared" si="0"/>
        <v>0</v>
      </c>
      <c r="H19" s="14">
        <f>IF(OR(WEEKDAY($B19,2)&gt;5,COUNTIF(FESTIVOS!$A:$A,$B19)&gt;0),0,$H$3*24)</f>
        <v>0.49999999999999989</v>
      </c>
      <c r="I19" s="14">
        <f>IF(OR(WEEKDAY($B19,2)&gt;5,COUNTIF(FESTIVOS!$A:$A,$B19)&gt;0),0,$I$3*24)</f>
        <v>8</v>
      </c>
      <c r="J19" s="14">
        <f>IF(OR(WEEKDAY($B19,2)&gt;5,COUNTIF(FESTIVOS!$A:$A,$B19)&gt;0),"",G19-I19-H19)</f>
        <v>-8.5</v>
      </c>
      <c r="K19" s="14" t="str">
        <f>IF(OR(WEEKDAY($B19,2)&gt;5,COUNTIF(FESTIVOS!$A:$A,$B19)&gt;0),G19,"")</f>
        <v/>
      </c>
      <c r="L19" s="11"/>
    </row>
    <row r="20" spans="1:12" x14ac:dyDescent="0.3">
      <c r="A20" s="11" t="s">
        <v>16</v>
      </c>
      <c r="B20" s="12">
        <v>46280</v>
      </c>
      <c r="C20" s="13">
        <v>0</v>
      </c>
      <c r="D20" s="13">
        <v>0</v>
      </c>
      <c r="E20" s="13">
        <v>0</v>
      </c>
      <c r="F20" s="13">
        <v>0</v>
      </c>
      <c r="G20" s="14">
        <f t="shared" si="0"/>
        <v>0</v>
      </c>
      <c r="H20" s="14">
        <f>IF(OR(WEEKDAY($B20,2)&gt;5,COUNTIF(FESTIVOS!$A:$A,$B20)&gt;0),0,$H$3*24)</f>
        <v>0.49999999999999989</v>
      </c>
      <c r="I20" s="14">
        <f>IF(OR(WEEKDAY($B20,2)&gt;5,COUNTIF(FESTIVOS!$A:$A,$B20)&gt;0),0,$I$3*24)</f>
        <v>8</v>
      </c>
      <c r="J20" s="14">
        <f>IF(OR(WEEKDAY($B20,2)&gt;5,COUNTIF(FESTIVOS!$A:$A,$B20)&gt;0),"",G20-I20-H20)</f>
        <v>-8.5</v>
      </c>
      <c r="K20" s="14" t="str">
        <f>IF(OR(WEEKDAY($B20,2)&gt;5,COUNTIF(FESTIVOS!$A:$A,$B20)&gt;0),G20,"")</f>
        <v/>
      </c>
      <c r="L20" s="11"/>
    </row>
    <row r="21" spans="1:12" x14ac:dyDescent="0.3">
      <c r="A21" s="11" t="s">
        <v>17</v>
      </c>
      <c r="B21" s="12">
        <v>46281</v>
      </c>
      <c r="C21" s="13">
        <v>0</v>
      </c>
      <c r="D21" s="13">
        <v>0</v>
      </c>
      <c r="E21" s="13">
        <v>0</v>
      </c>
      <c r="F21" s="13">
        <v>0</v>
      </c>
      <c r="G21" s="14">
        <f t="shared" si="0"/>
        <v>0</v>
      </c>
      <c r="H21" s="14">
        <f>IF(OR(WEEKDAY($B21,2)&gt;5,COUNTIF(FESTIVOS!$A:$A,$B21)&gt;0),0,$H$3*24)</f>
        <v>0.49999999999999989</v>
      </c>
      <c r="I21" s="14">
        <f>IF(OR(WEEKDAY($B21,2)&gt;5,COUNTIF(FESTIVOS!$A:$A,$B21)&gt;0),0,$I$3*24)</f>
        <v>8</v>
      </c>
      <c r="J21" s="14">
        <f>IF(OR(WEEKDAY($B21,2)&gt;5,COUNTIF(FESTIVOS!$A:$A,$B21)&gt;0),"",G21-I21-H21)</f>
        <v>-8.5</v>
      </c>
      <c r="K21" s="14" t="str">
        <f>IF(OR(WEEKDAY($B21,2)&gt;5,COUNTIF(FESTIVOS!$A:$A,$B21)&gt;0),G21,"")</f>
        <v/>
      </c>
      <c r="L21" s="11"/>
    </row>
    <row r="22" spans="1:12" x14ac:dyDescent="0.3">
      <c r="A22" s="11" t="s">
        <v>18</v>
      </c>
      <c r="B22" s="12">
        <v>46282</v>
      </c>
      <c r="C22" s="13">
        <v>0</v>
      </c>
      <c r="D22" s="13">
        <v>0</v>
      </c>
      <c r="E22" s="13">
        <v>0</v>
      </c>
      <c r="F22" s="13">
        <v>0</v>
      </c>
      <c r="G22" s="14">
        <f t="shared" si="0"/>
        <v>0</v>
      </c>
      <c r="H22" s="14">
        <f>IF(OR(WEEKDAY($B22,2)&gt;5,COUNTIF(FESTIVOS!$A:$A,$B22)&gt;0),0,$H$3*24)</f>
        <v>0.49999999999999989</v>
      </c>
      <c r="I22" s="14">
        <f>IF(OR(WEEKDAY($B22,2)&gt;5,COUNTIF(FESTIVOS!$A:$A,$B22)&gt;0),0,$I$3*24)</f>
        <v>8</v>
      </c>
      <c r="J22" s="14">
        <f>IF(OR(WEEKDAY($B22,2)&gt;5,COUNTIF(FESTIVOS!$A:$A,$B22)&gt;0),"",G22-I22-H22)</f>
        <v>-8.5</v>
      </c>
      <c r="K22" s="14" t="str">
        <f>IF(OR(WEEKDAY($B22,2)&gt;5,COUNTIF(FESTIVOS!$A:$A,$B22)&gt;0),G22,"")</f>
        <v/>
      </c>
      <c r="L22" s="11"/>
    </row>
    <row r="23" spans="1:12" x14ac:dyDescent="0.3">
      <c r="A23" s="11" t="s">
        <v>19</v>
      </c>
      <c r="B23" s="12">
        <v>46283</v>
      </c>
      <c r="C23" s="13">
        <v>0</v>
      </c>
      <c r="D23" s="13">
        <v>0</v>
      </c>
      <c r="E23" s="13">
        <v>0</v>
      </c>
      <c r="F23" s="13">
        <v>0</v>
      </c>
      <c r="G23" s="14">
        <f t="shared" si="0"/>
        <v>0</v>
      </c>
      <c r="H23" s="14">
        <f>IF(OR(WEEKDAY($B23,2)&gt;5,COUNTIF(FESTIVOS!$A:$A,$B23)&gt;0),0,$H$3*24)</f>
        <v>0.49999999999999989</v>
      </c>
      <c r="I23" s="14">
        <f>IF(OR(WEEKDAY($B23,2)&gt;5,COUNTIF(FESTIVOS!$A:$A,$B23)&gt;0),0,$I$3*24)</f>
        <v>8</v>
      </c>
      <c r="J23" s="14">
        <f>IF(OR(WEEKDAY($B23,2)&gt;5,COUNTIF(FESTIVOS!$A:$A,$B23)&gt;0),"",G23-I23-H23)</f>
        <v>-8.5</v>
      </c>
      <c r="K23" s="14" t="str">
        <f>IF(OR(WEEKDAY($B23,2)&gt;5,COUNTIF(FESTIVOS!$A:$A,$B23)&gt;0),G23,"")</f>
        <v/>
      </c>
      <c r="L23" s="11"/>
    </row>
    <row r="24" spans="1:12" x14ac:dyDescent="0.3">
      <c r="A24" s="15" t="s">
        <v>20</v>
      </c>
      <c r="B24" s="16">
        <v>46284</v>
      </c>
      <c r="C24" s="17">
        <v>0</v>
      </c>
      <c r="D24" s="17">
        <v>0</v>
      </c>
      <c r="E24" s="17">
        <v>0</v>
      </c>
      <c r="F24" s="17">
        <v>0</v>
      </c>
      <c r="G24" s="18">
        <f t="shared" si="0"/>
        <v>0</v>
      </c>
      <c r="H24" s="18">
        <f>IF(OR(WEEKDAY($B24,2)&gt;5,COUNTIF(FESTIVOS!$A:$A,$B24)&gt;0),0,$H$3*24)</f>
        <v>0</v>
      </c>
      <c r="I24" s="18">
        <f>IF(OR(WEEKDAY($B24,2)&gt;5,COUNTIF(FESTIVOS!$A:$A,$B24)&gt;0),0,$I$3*24)</f>
        <v>0</v>
      </c>
      <c r="J24" s="18" t="str">
        <f>IF(OR(WEEKDAY($B24,2)&gt;5,COUNTIF(FESTIVOS!$A:$A,$B24)&gt;0),"",G24-I24-H24)</f>
        <v/>
      </c>
      <c r="K24" s="18">
        <f>IF(OR(WEEKDAY($B24,2)&gt;5,COUNTIF(FESTIVOS!$A:$A,$B24)&gt;0),G24,"")</f>
        <v>0</v>
      </c>
      <c r="L24" s="15"/>
    </row>
    <row r="25" spans="1:12" x14ac:dyDescent="0.3">
      <c r="A25" s="15" t="s">
        <v>21</v>
      </c>
      <c r="B25" s="16">
        <v>46285</v>
      </c>
      <c r="C25" s="17">
        <v>0</v>
      </c>
      <c r="D25" s="17">
        <v>0</v>
      </c>
      <c r="E25" s="17">
        <v>0</v>
      </c>
      <c r="F25" s="17">
        <v>0</v>
      </c>
      <c r="G25" s="18">
        <f t="shared" si="0"/>
        <v>0</v>
      </c>
      <c r="H25" s="18">
        <f>IF(OR(WEEKDAY($B25,2)&gt;5,COUNTIF(FESTIVOS!$A:$A,$B25)&gt;0),0,$H$3*24)</f>
        <v>0</v>
      </c>
      <c r="I25" s="18">
        <f>IF(OR(WEEKDAY($B25,2)&gt;5,COUNTIF(FESTIVOS!$A:$A,$B25)&gt;0),0,$I$3*24)</f>
        <v>0</v>
      </c>
      <c r="J25" s="18" t="str">
        <f>IF(OR(WEEKDAY($B25,2)&gt;5,COUNTIF(FESTIVOS!$A:$A,$B25)&gt;0),"",G25-I25-H25)</f>
        <v/>
      </c>
      <c r="K25" s="18">
        <f>IF(OR(WEEKDAY($B25,2)&gt;5,COUNTIF(FESTIVOS!$A:$A,$B25)&gt;0),G25,"")</f>
        <v>0</v>
      </c>
      <c r="L25" s="15"/>
    </row>
    <row r="26" spans="1:12" x14ac:dyDescent="0.3">
      <c r="A26" s="11" t="s">
        <v>15</v>
      </c>
      <c r="B26" s="12">
        <v>46286</v>
      </c>
      <c r="C26" s="13">
        <v>0</v>
      </c>
      <c r="D26" s="13">
        <v>0</v>
      </c>
      <c r="E26" s="13">
        <v>0</v>
      </c>
      <c r="F26" s="13">
        <v>0</v>
      </c>
      <c r="G26" s="14">
        <f t="shared" si="0"/>
        <v>0</v>
      </c>
      <c r="H26" s="14">
        <f>IF(OR(WEEKDAY($B26,2)&gt;5,COUNTIF(FESTIVOS!$A:$A,$B26)&gt;0),0,$H$3*24)</f>
        <v>0.49999999999999989</v>
      </c>
      <c r="I26" s="14">
        <f>IF(OR(WEEKDAY($B26,2)&gt;5,COUNTIF(FESTIVOS!$A:$A,$B26)&gt;0),0,$I$3*24)</f>
        <v>8</v>
      </c>
      <c r="J26" s="14">
        <f>IF(OR(WEEKDAY($B26,2)&gt;5,COUNTIF(FESTIVOS!$A:$A,$B26)&gt;0),"",G26-I26-H26)</f>
        <v>-8.5</v>
      </c>
      <c r="K26" s="14" t="str">
        <f>IF(OR(WEEKDAY($B26,2)&gt;5,COUNTIF(FESTIVOS!$A:$A,$B26)&gt;0),G26,"")</f>
        <v/>
      </c>
      <c r="L26" s="11"/>
    </row>
    <row r="27" spans="1:12" x14ac:dyDescent="0.3">
      <c r="A27" s="11" t="s">
        <v>16</v>
      </c>
      <c r="B27" s="12">
        <v>46287</v>
      </c>
      <c r="C27" s="13">
        <v>0</v>
      </c>
      <c r="D27" s="13">
        <v>0</v>
      </c>
      <c r="E27" s="13">
        <v>0</v>
      </c>
      <c r="F27" s="13">
        <v>0</v>
      </c>
      <c r="G27" s="14">
        <f t="shared" si="0"/>
        <v>0</v>
      </c>
      <c r="H27" s="14">
        <f>IF(OR(WEEKDAY($B27,2)&gt;5,COUNTIF(FESTIVOS!$A:$A,$B27)&gt;0),0,$H$3*24)</f>
        <v>0.49999999999999989</v>
      </c>
      <c r="I27" s="14">
        <f>IF(OR(WEEKDAY($B27,2)&gt;5,COUNTIF(FESTIVOS!$A:$A,$B27)&gt;0),0,$I$3*24)</f>
        <v>8</v>
      </c>
      <c r="J27" s="14">
        <f>IF(OR(WEEKDAY($B27,2)&gt;5,COUNTIF(FESTIVOS!$A:$A,$B27)&gt;0),"",G27-I27-H27)</f>
        <v>-8.5</v>
      </c>
      <c r="K27" s="14" t="str">
        <f>IF(OR(WEEKDAY($B27,2)&gt;5,COUNTIF(FESTIVOS!$A:$A,$B27)&gt;0),G27,"")</f>
        <v/>
      </c>
      <c r="L27" s="11"/>
    </row>
    <row r="28" spans="1:12" x14ac:dyDescent="0.3">
      <c r="A28" s="11" t="s">
        <v>17</v>
      </c>
      <c r="B28" s="12">
        <v>46288</v>
      </c>
      <c r="C28" s="13">
        <v>0</v>
      </c>
      <c r="D28" s="13">
        <v>0</v>
      </c>
      <c r="E28" s="13">
        <v>0</v>
      </c>
      <c r="F28" s="13">
        <v>0</v>
      </c>
      <c r="G28" s="14">
        <f t="shared" si="0"/>
        <v>0</v>
      </c>
      <c r="H28" s="14">
        <f>IF(OR(WEEKDAY($B28,2)&gt;5,COUNTIF(FESTIVOS!$A:$A,$B28)&gt;0),0,$H$3*24)</f>
        <v>0.49999999999999989</v>
      </c>
      <c r="I28" s="14">
        <f>IF(OR(WEEKDAY($B28,2)&gt;5,COUNTIF(FESTIVOS!$A:$A,$B28)&gt;0),0,$I$3*24)</f>
        <v>8</v>
      </c>
      <c r="J28" s="14">
        <f>IF(OR(WEEKDAY($B28,2)&gt;5,COUNTIF(FESTIVOS!$A:$A,$B28)&gt;0),"",G28-I28-H28)</f>
        <v>-8.5</v>
      </c>
      <c r="K28" s="14" t="str">
        <f>IF(OR(WEEKDAY($B28,2)&gt;5,COUNTIF(FESTIVOS!$A:$A,$B28)&gt;0),G28,"")</f>
        <v/>
      </c>
      <c r="L28" s="11"/>
    </row>
    <row r="29" spans="1:12" x14ac:dyDescent="0.3">
      <c r="A29" s="11" t="s">
        <v>18</v>
      </c>
      <c r="B29" s="12">
        <v>46289</v>
      </c>
      <c r="C29" s="13">
        <v>0</v>
      </c>
      <c r="D29" s="13">
        <v>0</v>
      </c>
      <c r="E29" s="13">
        <v>0</v>
      </c>
      <c r="F29" s="13">
        <v>0</v>
      </c>
      <c r="G29" s="14">
        <f t="shared" si="0"/>
        <v>0</v>
      </c>
      <c r="H29" s="14">
        <f>IF(OR(WEEKDAY($B29,2)&gt;5,COUNTIF(FESTIVOS!$A:$A,$B29)&gt;0),0,$H$3*24)</f>
        <v>0.49999999999999989</v>
      </c>
      <c r="I29" s="14">
        <f>IF(OR(WEEKDAY($B29,2)&gt;5,COUNTIF(FESTIVOS!$A:$A,$B29)&gt;0),0,$I$3*24)</f>
        <v>8</v>
      </c>
      <c r="J29" s="14">
        <f>IF(OR(WEEKDAY($B29,2)&gt;5,COUNTIF(FESTIVOS!$A:$A,$B29)&gt;0),"",G29-I29-H29)</f>
        <v>-8.5</v>
      </c>
      <c r="K29" s="14" t="str">
        <f>IF(OR(WEEKDAY($B29,2)&gt;5,COUNTIF(FESTIVOS!$A:$A,$B29)&gt;0),G29,"")</f>
        <v/>
      </c>
      <c r="L29" s="11"/>
    </row>
    <row r="30" spans="1:12" x14ac:dyDescent="0.3">
      <c r="A30" s="11" t="s">
        <v>19</v>
      </c>
      <c r="B30" s="12">
        <v>46290</v>
      </c>
      <c r="C30" s="13">
        <v>0</v>
      </c>
      <c r="D30" s="13">
        <v>0</v>
      </c>
      <c r="E30" s="13">
        <v>0</v>
      </c>
      <c r="F30" s="13">
        <v>0</v>
      </c>
      <c r="G30" s="14">
        <f t="shared" si="0"/>
        <v>0</v>
      </c>
      <c r="H30" s="14">
        <f>IF(OR(WEEKDAY($B30,2)&gt;5,COUNTIF(FESTIVOS!$A:$A,$B30)&gt;0),0,$H$3*24)</f>
        <v>0.49999999999999989</v>
      </c>
      <c r="I30" s="14">
        <f>IF(OR(WEEKDAY($B30,2)&gt;5,COUNTIF(FESTIVOS!$A:$A,$B30)&gt;0),0,$I$3*24)</f>
        <v>8</v>
      </c>
      <c r="J30" s="14">
        <f>IF(OR(WEEKDAY($B30,2)&gt;5,COUNTIF(FESTIVOS!$A:$A,$B30)&gt;0),"",G30-I30-H30)</f>
        <v>-8.5</v>
      </c>
      <c r="K30" s="14" t="str">
        <f>IF(OR(WEEKDAY($B30,2)&gt;5,COUNTIF(FESTIVOS!$A:$A,$B30)&gt;0),G30,"")</f>
        <v/>
      </c>
      <c r="L30" s="11"/>
    </row>
    <row r="31" spans="1:12" x14ac:dyDescent="0.3">
      <c r="A31" s="15" t="s">
        <v>20</v>
      </c>
      <c r="B31" s="16">
        <v>46291</v>
      </c>
      <c r="C31" s="17">
        <v>0</v>
      </c>
      <c r="D31" s="17">
        <v>0</v>
      </c>
      <c r="E31" s="17">
        <v>0</v>
      </c>
      <c r="F31" s="17">
        <v>0</v>
      </c>
      <c r="G31" s="18">
        <f t="shared" si="0"/>
        <v>0</v>
      </c>
      <c r="H31" s="18">
        <f>IF(OR(WEEKDAY($B31,2)&gt;5,COUNTIF(FESTIVOS!$A:$A,$B31)&gt;0),0,$H$3*24)</f>
        <v>0</v>
      </c>
      <c r="I31" s="18">
        <f>IF(OR(WEEKDAY($B31,2)&gt;5,COUNTIF(FESTIVOS!$A:$A,$B31)&gt;0),0,$I$3*24)</f>
        <v>0</v>
      </c>
      <c r="J31" s="18" t="str">
        <f>IF(OR(WEEKDAY($B31,2)&gt;5,COUNTIF(FESTIVOS!$A:$A,$B31)&gt;0),"",G31-I31-H31)</f>
        <v/>
      </c>
      <c r="K31" s="18">
        <f>IF(OR(WEEKDAY($B31,2)&gt;5,COUNTIF(FESTIVOS!$A:$A,$B31)&gt;0),G31,"")</f>
        <v>0</v>
      </c>
      <c r="L31" s="15"/>
    </row>
    <row r="32" spans="1:12" x14ac:dyDescent="0.3">
      <c r="A32" s="15" t="s">
        <v>21</v>
      </c>
      <c r="B32" s="16">
        <v>46292</v>
      </c>
      <c r="C32" s="17">
        <v>0</v>
      </c>
      <c r="D32" s="17">
        <v>0</v>
      </c>
      <c r="E32" s="17">
        <v>0</v>
      </c>
      <c r="F32" s="17">
        <v>0</v>
      </c>
      <c r="G32" s="18">
        <f t="shared" si="0"/>
        <v>0</v>
      </c>
      <c r="H32" s="18">
        <f>IF(OR(WEEKDAY($B32,2)&gt;5,COUNTIF(FESTIVOS!$A:$A,$B32)&gt;0),0,$H$3*24)</f>
        <v>0</v>
      </c>
      <c r="I32" s="18">
        <f>IF(OR(WEEKDAY($B32,2)&gt;5,COUNTIF(FESTIVOS!$A:$A,$B32)&gt;0),0,$I$3*24)</f>
        <v>0</v>
      </c>
      <c r="J32" s="18" t="str">
        <f>IF(OR(WEEKDAY($B32,2)&gt;5,COUNTIF(FESTIVOS!$A:$A,$B32)&gt;0),"",G32-I32-H32)</f>
        <v/>
      </c>
      <c r="K32" s="18">
        <f>IF(OR(WEEKDAY($B32,2)&gt;5,COUNTIF(FESTIVOS!$A:$A,$B32)&gt;0),G32,"")</f>
        <v>0</v>
      </c>
      <c r="L32" s="15"/>
    </row>
    <row r="33" spans="1:12" x14ac:dyDescent="0.3">
      <c r="A33" s="11" t="s">
        <v>15</v>
      </c>
      <c r="B33" s="12">
        <v>46293</v>
      </c>
      <c r="C33" s="13">
        <v>0</v>
      </c>
      <c r="D33" s="13">
        <v>0</v>
      </c>
      <c r="E33" s="13">
        <v>0</v>
      </c>
      <c r="F33" s="13">
        <v>0</v>
      </c>
      <c r="G33" s="14">
        <f t="shared" si="0"/>
        <v>0</v>
      </c>
      <c r="H33" s="14">
        <f>IF(OR(WEEKDAY($B33,2)&gt;5,COUNTIF(FESTIVOS!$A:$A,$B33)&gt;0),0,$H$3*24)</f>
        <v>0.49999999999999989</v>
      </c>
      <c r="I33" s="14">
        <f>IF(OR(WEEKDAY($B33,2)&gt;5,COUNTIF(FESTIVOS!$A:$A,$B33)&gt;0),0,$I$3*24)</f>
        <v>8</v>
      </c>
      <c r="J33" s="14">
        <f>IF(OR(WEEKDAY($B33,2)&gt;5,COUNTIF(FESTIVOS!$A:$A,$B33)&gt;0),"",G33-I33-H33)</f>
        <v>-8.5</v>
      </c>
      <c r="K33" s="14" t="str">
        <f>IF(OR(WEEKDAY($B33,2)&gt;5,COUNTIF(FESTIVOS!$A:$A,$B33)&gt;0),G33,"")</f>
        <v/>
      </c>
      <c r="L33" s="11"/>
    </row>
    <row r="34" spans="1:12" x14ac:dyDescent="0.3">
      <c r="A34" s="11" t="s">
        <v>16</v>
      </c>
      <c r="B34" s="12">
        <v>46294</v>
      </c>
      <c r="C34" s="13">
        <v>0</v>
      </c>
      <c r="D34" s="13">
        <v>0</v>
      </c>
      <c r="E34" s="13">
        <v>0</v>
      </c>
      <c r="F34" s="13">
        <v>0</v>
      </c>
      <c r="G34" s="14">
        <f t="shared" si="0"/>
        <v>0</v>
      </c>
      <c r="H34" s="14">
        <f>IF(OR(WEEKDAY($B34,2)&gt;5,COUNTIF(FESTIVOS!$A:$A,$B34)&gt;0),0,$H$3*24)</f>
        <v>0.49999999999999989</v>
      </c>
      <c r="I34" s="14">
        <f>IF(OR(WEEKDAY($B34,2)&gt;5,COUNTIF(FESTIVOS!$A:$A,$B34)&gt;0),0,$I$3*24)</f>
        <v>8</v>
      </c>
      <c r="J34" s="14">
        <f>IF(OR(WEEKDAY($B34,2)&gt;5,COUNTIF(FESTIVOS!$A:$A,$B34)&gt;0),"",G34-I34-H34)</f>
        <v>-8.5</v>
      </c>
      <c r="K34" s="14" t="str">
        <f>IF(OR(WEEKDAY($B34,2)&gt;5,COUNTIF(FESTIVOS!$A:$A,$B34)&gt;0),G34,"")</f>
        <v/>
      </c>
      <c r="L34" s="11"/>
    </row>
    <row r="35" spans="1:12" x14ac:dyDescent="0.3">
      <c r="A35" s="11" t="s">
        <v>17</v>
      </c>
      <c r="B35" s="12">
        <v>46295</v>
      </c>
      <c r="C35" s="13">
        <v>0</v>
      </c>
      <c r="D35" s="13">
        <v>0</v>
      </c>
      <c r="E35" s="13">
        <v>0</v>
      </c>
      <c r="F35" s="13">
        <v>0</v>
      </c>
      <c r="G35" s="14">
        <f t="shared" si="0"/>
        <v>0</v>
      </c>
      <c r="H35" s="14">
        <f>IF(OR(WEEKDAY($B35,2)&gt;5,COUNTIF(FESTIVOS!$A:$A,$B35)&gt;0),0,$H$3*24)</f>
        <v>0.49999999999999989</v>
      </c>
      <c r="I35" s="14">
        <f>IF(OR(WEEKDAY($B35,2)&gt;5,COUNTIF(FESTIVOS!$A:$A,$B35)&gt;0),0,$I$3*24)</f>
        <v>8</v>
      </c>
      <c r="J35" s="14">
        <f>IF(OR(WEEKDAY($B35,2)&gt;5,COUNTIF(FESTIVOS!$A:$A,$B35)&gt;0),"",G35-I35-H35)</f>
        <v>-8.5</v>
      </c>
      <c r="K35" s="14" t="str">
        <f>IF(OR(WEEKDAY($B35,2)&gt;5,COUNTIF(FESTIVOS!$A:$A,$B35)&gt;0),G35,"")</f>
        <v/>
      </c>
      <c r="L35" s="11"/>
    </row>
  </sheetData>
  <mergeCells count="1">
    <mergeCell ref="C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6"/>
  <sheetViews>
    <sheetView workbookViewId="0">
      <selection activeCell="J7" sqref="J7"/>
    </sheetView>
  </sheetViews>
  <sheetFormatPr baseColWidth="10" defaultColWidth="9.140625" defaultRowHeight="16.5" x14ac:dyDescent="0.3"/>
  <cols>
    <col min="1" max="1" width="4.7109375" style="2" bestFit="1" customWidth="1"/>
    <col min="2" max="2" width="13.5703125" style="2" bestFit="1" customWidth="1"/>
    <col min="3" max="3" width="11.85546875" style="2" bestFit="1" customWidth="1"/>
    <col min="4" max="4" width="9.7109375" style="2" bestFit="1" customWidth="1"/>
    <col min="5" max="5" width="11.85546875" style="2" bestFit="1" customWidth="1"/>
    <col min="6" max="7" width="9.7109375" style="2" bestFit="1" customWidth="1"/>
    <col min="8" max="8" width="14.7109375" style="2" bestFit="1" customWidth="1"/>
    <col min="9" max="9" width="8" style="2" customWidth="1"/>
    <col min="10" max="10" width="9.28515625" style="2" bestFit="1" customWidth="1"/>
    <col min="11" max="11" width="17.5703125" style="2" bestFit="1" customWidth="1"/>
    <col min="12" max="12" width="20.140625" style="2" bestFit="1" customWidth="1"/>
    <col min="13" max="13" width="9.140625" style="2"/>
    <col min="14" max="14" width="11.5703125" style="2" bestFit="1" customWidth="1"/>
    <col min="15" max="15" width="22.85546875" style="2" bestFit="1" customWidth="1"/>
    <col min="16" max="16" width="11.5703125" style="2" bestFit="1" customWidth="1"/>
    <col min="17" max="16384" width="9.140625" style="2"/>
  </cols>
  <sheetData>
    <row r="1" spans="1:16" ht="18" x14ac:dyDescent="0.35">
      <c r="N1" s="3">
        <v>9</v>
      </c>
      <c r="O1" s="3">
        <v>10</v>
      </c>
    </row>
    <row r="2" spans="1:16" ht="18" x14ac:dyDescent="0.35">
      <c r="C2" s="4" t="s">
        <v>0</v>
      </c>
      <c r="D2" s="5"/>
      <c r="F2" s="6" t="s">
        <v>1</v>
      </c>
      <c r="N2" s="6" t="s">
        <v>2</v>
      </c>
      <c r="O2" s="6" t="s">
        <v>3</v>
      </c>
    </row>
    <row r="3" spans="1:16" ht="18" x14ac:dyDescent="0.35">
      <c r="F3" s="6" t="s">
        <v>31</v>
      </c>
      <c r="H3" s="7">
        <v>2.0833333333333329E-2</v>
      </c>
      <c r="I3" s="7">
        <v>0.33333333333333331</v>
      </c>
      <c r="N3" s="8" t="e">
        <f>SUMPRODUCT((J6:J36&gt;0)*(J6:J36))</f>
        <v>#VALUE!</v>
      </c>
      <c r="O3" s="8">
        <f>SUM(K6:K36)</f>
        <v>0</v>
      </c>
    </row>
    <row r="4" spans="1:16" ht="18" x14ac:dyDescent="0.35">
      <c r="P4" s="6" t="s">
        <v>5</v>
      </c>
    </row>
    <row r="5" spans="1:16" ht="18" x14ac:dyDescent="0.35">
      <c r="A5" s="9" t="s">
        <v>6</v>
      </c>
      <c r="B5" s="9" t="s">
        <v>7</v>
      </c>
      <c r="C5" s="9" t="s">
        <v>8</v>
      </c>
      <c r="D5" s="9" t="s">
        <v>9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2</v>
      </c>
      <c r="K5" s="9" t="s">
        <v>13</v>
      </c>
      <c r="L5" s="9" t="s">
        <v>14</v>
      </c>
      <c r="N5" s="10" t="e">
        <f>N3*N1</f>
        <v>#VALUE!</v>
      </c>
      <c r="O5" s="10">
        <f>O3*O1</f>
        <v>0</v>
      </c>
      <c r="P5" s="10" t="e">
        <f>N5+O5</f>
        <v>#VALUE!</v>
      </c>
    </row>
    <row r="6" spans="1:16" x14ac:dyDescent="0.3">
      <c r="A6" s="11" t="s">
        <v>18</v>
      </c>
      <c r="B6" s="12">
        <v>46296</v>
      </c>
      <c r="C6" s="13">
        <v>0</v>
      </c>
      <c r="D6" s="13">
        <v>0</v>
      </c>
      <c r="E6" s="13">
        <v>0</v>
      </c>
      <c r="F6" s="13">
        <v>0</v>
      </c>
      <c r="G6" s="14">
        <f t="shared" ref="G6:G36" si="0">IF(AND(C6="",D6="",E6="",F6=""),0,(F6-E6+D6-C6)*24)</f>
        <v>0</v>
      </c>
      <c r="H6" s="14">
        <f>IF(OR(WEEKDAY($B6,2)&gt;5,COUNTIF(FESTIVOS!$A:$A,$B6)&gt;0),0,$H$3*24)</f>
        <v>0.49999999999999989</v>
      </c>
      <c r="I6" s="14">
        <f>IF(OR(WEEKDAY($B6,2)&gt;5,COUNTIF(FESTIVOS!$A:$A,$B6)&gt;0),0,$I$3*24)</f>
        <v>8</v>
      </c>
      <c r="J6" s="14">
        <f>IF(OR(WEEKDAY($B6,2)&gt;5,COUNTIF(FESTIVOS!$A:$A,$B6)&gt;0),"",G6-I6-H6)</f>
        <v>-8.5</v>
      </c>
      <c r="K6" s="14" t="str">
        <f>IF(OR(WEEKDAY($B6,2)&gt;5,COUNTIF(FESTIVOS!$A:$A,$B6)&gt;0),G6,"")</f>
        <v/>
      </c>
      <c r="L6" s="11"/>
    </row>
    <row r="7" spans="1:16" x14ac:dyDescent="0.3">
      <c r="A7" s="11" t="s">
        <v>19</v>
      </c>
      <c r="B7" s="12">
        <v>46297</v>
      </c>
      <c r="C7" s="13">
        <v>0</v>
      </c>
      <c r="D7" s="13">
        <v>0</v>
      </c>
      <c r="E7" s="13">
        <v>0</v>
      </c>
      <c r="F7" s="13">
        <v>0</v>
      </c>
      <c r="G7" s="14">
        <f t="shared" si="0"/>
        <v>0</v>
      </c>
      <c r="H7" s="14">
        <f>IF(OR(WEEKDAY($B7,2)&gt;5,COUNTIF(FESTIVOS!$A:$A,$B7)&gt;0),0,$H$3*24)</f>
        <v>0.49999999999999989</v>
      </c>
      <c r="I7" s="14">
        <f>IF(OR(WEEKDAY($B7,2)&gt;5,COUNTIF(FESTIVOS!$A:$A,$B7)&gt;0),0,$I$3*24)</f>
        <v>8</v>
      </c>
      <c r="J7" s="14">
        <f>IF(OR(WEEKDAY($B7,2)&gt;5,COUNTIF(FESTIVOS!$A:$A,$B7)&gt;0),"",G7-I7-H7)</f>
        <v>-8.5</v>
      </c>
      <c r="K7" s="14" t="str">
        <f>IF(OR(WEEKDAY($B7,2)&gt;5,COUNTIF(FESTIVOS!$A:$A,$B7)&gt;0),G7,"")</f>
        <v/>
      </c>
      <c r="L7" s="11"/>
    </row>
    <row r="8" spans="1:16" x14ac:dyDescent="0.3">
      <c r="A8" s="15" t="s">
        <v>20</v>
      </c>
      <c r="B8" s="16">
        <v>46298</v>
      </c>
      <c r="C8" s="17">
        <v>0</v>
      </c>
      <c r="D8" s="17">
        <v>0</v>
      </c>
      <c r="E8" s="17">
        <v>0</v>
      </c>
      <c r="F8" s="17">
        <v>0</v>
      </c>
      <c r="G8" s="18">
        <f t="shared" si="0"/>
        <v>0</v>
      </c>
      <c r="H8" s="18">
        <f>IF(OR(WEEKDAY($B8,2)&gt;5,COUNTIF(FESTIVOS!$A:$A,$B8)&gt;0),0,$H$3*24)</f>
        <v>0</v>
      </c>
      <c r="I8" s="18">
        <f>IF(OR(WEEKDAY($B8,2)&gt;5,COUNTIF(FESTIVOS!$A:$A,$B8)&gt;0),0,$I$3*24)</f>
        <v>0</v>
      </c>
      <c r="J8" s="18" t="str">
        <f>IF(OR(WEEKDAY($B8,2)&gt;5,COUNTIF(FESTIVOS!$A:$A,$B8)&gt;0),"",G8-I8-H8)</f>
        <v/>
      </c>
      <c r="K8" s="18">
        <f>IF(OR(WEEKDAY($B8,2)&gt;5,COUNTIF(FESTIVOS!$A:$A,$B8)&gt;0),G8,"")</f>
        <v>0</v>
      </c>
      <c r="L8" s="15"/>
    </row>
    <row r="9" spans="1:16" x14ac:dyDescent="0.3">
      <c r="A9" s="15" t="s">
        <v>21</v>
      </c>
      <c r="B9" s="16">
        <v>46299</v>
      </c>
      <c r="C9" s="17">
        <v>0</v>
      </c>
      <c r="D9" s="17">
        <v>0</v>
      </c>
      <c r="E9" s="17">
        <v>0</v>
      </c>
      <c r="F9" s="17">
        <v>0</v>
      </c>
      <c r="G9" s="18">
        <f t="shared" si="0"/>
        <v>0</v>
      </c>
      <c r="H9" s="18">
        <f>IF(OR(WEEKDAY($B9,2)&gt;5,COUNTIF(FESTIVOS!$A:$A,$B9)&gt;0),0,$H$3*24)</f>
        <v>0</v>
      </c>
      <c r="I9" s="18">
        <f>IF(OR(WEEKDAY($B9,2)&gt;5,COUNTIF(FESTIVOS!$A:$A,$B9)&gt;0),0,$I$3*24)</f>
        <v>0</v>
      </c>
      <c r="J9" s="18" t="str">
        <f>IF(OR(WEEKDAY($B9,2)&gt;5,COUNTIF(FESTIVOS!$A:$A,$B9)&gt;0),"",G9-I9-H9)</f>
        <v/>
      </c>
      <c r="K9" s="18">
        <f>IF(OR(WEEKDAY($B9,2)&gt;5,COUNTIF(FESTIVOS!$A:$A,$B9)&gt;0),G9,"")</f>
        <v>0</v>
      </c>
      <c r="L9" s="15"/>
    </row>
    <row r="10" spans="1:16" x14ac:dyDescent="0.3">
      <c r="A10" s="11" t="s">
        <v>15</v>
      </c>
      <c r="B10" s="12">
        <v>46300</v>
      </c>
      <c r="C10" s="13">
        <v>0</v>
      </c>
      <c r="D10" s="13">
        <v>0</v>
      </c>
      <c r="E10" s="13">
        <v>0</v>
      </c>
      <c r="F10" s="13">
        <v>0</v>
      </c>
      <c r="G10" s="14">
        <f t="shared" si="0"/>
        <v>0</v>
      </c>
      <c r="H10" s="14">
        <f>IF(OR(WEEKDAY($B10,2)&gt;5,COUNTIF(FESTIVOS!$A:$A,$B10)&gt;0),0,$H$3*24)</f>
        <v>0.49999999999999989</v>
      </c>
      <c r="I10" s="14">
        <f>IF(OR(WEEKDAY($B10,2)&gt;5,COUNTIF(FESTIVOS!$A:$A,$B10)&gt;0),0,$I$3*24)</f>
        <v>8</v>
      </c>
      <c r="J10" s="14">
        <f>IF(OR(WEEKDAY($B10,2)&gt;5,COUNTIF(FESTIVOS!$A:$A,$B10)&gt;0),"",G10-I10-H10)</f>
        <v>-8.5</v>
      </c>
      <c r="K10" s="14" t="str">
        <f>IF(OR(WEEKDAY($B10,2)&gt;5,COUNTIF(FESTIVOS!$A:$A,$B10)&gt;0),G10,"")</f>
        <v/>
      </c>
      <c r="L10" s="11"/>
    </row>
    <row r="11" spans="1:16" x14ac:dyDescent="0.3">
      <c r="A11" s="11" t="s">
        <v>16</v>
      </c>
      <c r="B11" s="12">
        <v>46301</v>
      </c>
      <c r="C11" s="13">
        <v>0</v>
      </c>
      <c r="D11" s="13">
        <v>0</v>
      </c>
      <c r="E11" s="13">
        <v>0</v>
      </c>
      <c r="F11" s="13">
        <v>0</v>
      </c>
      <c r="G11" s="14">
        <f t="shared" si="0"/>
        <v>0</v>
      </c>
      <c r="H11" s="14">
        <f>IF(OR(WEEKDAY($B11,2)&gt;5,COUNTIF(FESTIVOS!$A:$A,$B11)&gt;0),0,$H$3*24)</f>
        <v>0.49999999999999989</v>
      </c>
      <c r="I11" s="14">
        <f>IF(OR(WEEKDAY($B11,2)&gt;5,COUNTIF(FESTIVOS!$A:$A,$B11)&gt;0),0,$I$3*24)</f>
        <v>8</v>
      </c>
      <c r="J11" s="14">
        <f>IF(OR(WEEKDAY($B11,2)&gt;5,COUNTIF(FESTIVOS!$A:$A,$B11)&gt;0),"",G11-I11-H11)</f>
        <v>-8.5</v>
      </c>
      <c r="K11" s="14" t="str">
        <f>IF(OR(WEEKDAY($B11,2)&gt;5,COUNTIF(FESTIVOS!$A:$A,$B11)&gt;0),G11,"")</f>
        <v/>
      </c>
      <c r="L11" s="11"/>
    </row>
    <row r="12" spans="1:16" x14ac:dyDescent="0.3">
      <c r="A12" s="11" t="s">
        <v>17</v>
      </c>
      <c r="B12" s="12">
        <v>46302</v>
      </c>
      <c r="C12" s="13">
        <v>0</v>
      </c>
      <c r="D12" s="13">
        <v>0</v>
      </c>
      <c r="E12" s="13">
        <v>0</v>
      </c>
      <c r="F12" s="13">
        <v>0</v>
      </c>
      <c r="G12" s="14">
        <f t="shared" si="0"/>
        <v>0</v>
      </c>
      <c r="H12" s="14">
        <f>IF(OR(WEEKDAY($B12,2)&gt;5,COUNTIF(FESTIVOS!$A:$A,$B12)&gt;0),0,$H$3*24)</f>
        <v>0.49999999999999989</v>
      </c>
      <c r="I12" s="14">
        <f>IF(OR(WEEKDAY($B12,2)&gt;5,COUNTIF(FESTIVOS!$A:$A,$B12)&gt;0),0,$I$3*24)</f>
        <v>8</v>
      </c>
      <c r="J12" s="14">
        <f>IF(OR(WEEKDAY($B12,2)&gt;5,COUNTIF(FESTIVOS!$A:$A,$B12)&gt;0),"",G12-I12-H12)</f>
        <v>-8.5</v>
      </c>
      <c r="K12" s="14" t="str">
        <f>IF(OR(WEEKDAY($B12,2)&gt;5,COUNTIF(FESTIVOS!$A:$A,$B12)&gt;0),G12,"")</f>
        <v/>
      </c>
      <c r="L12" s="11"/>
    </row>
    <row r="13" spans="1:16" x14ac:dyDescent="0.3">
      <c r="A13" s="11" t="s">
        <v>18</v>
      </c>
      <c r="B13" s="12">
        <v>46303</v>
      </c>
      <c r="C13" s="13">
        <v>0</v>
      </c>
      <c r="D13" s="13">
        <v>0</v>
      </c>
      <c r="E13" s="13">
        <v>0</v>
      </c>
      <c r="F13" s="13">
        <v>0</v>
      </c>
      <c r="G13" s="14">
        <f t="shared" si="0"/>
        <v>0</v>
      </c>
      <c r="H13" s="14">
        <f>IF(OR(WEEKDAY($B13,2)&gt;5,COUNTIF(FESTIVOS!$A:$A,$B13)&gt;0),0,$H$3*24)</f>
        <v>0.49999999999999989</v>
      </c>
      <c r="I13" s="14">
        <f>IF(OR(WEEKDAY($B13,2)&gt;5,COUNTIF(FESTIVOS!$A:$A,$B13)&gt;0),0,$I$3*24)</f>
        <v>8</v>
      </c>
      <c r="J13" s="14">
        <f>IF(OR(WEEKDAY($B13,2)&gt;5,COUNTIF(FESTIVOS!$A:$A,$B13)&gt;0),"",G13-I13-H13)</f>
        <v>-8.5</v>
      </c>
      <c r="K13" s="14" t="str">
        <f>IF(OR(WEEKDAY($B13,2)&gt;5,COUNTIF(FESTIVOS!$A:$A,$B13)&gt;0),G13,"")</f>
        <v/>
      </c>
      <c r="L13" s="11"/>
    </row>
    <row r="14" spans="1:16" x14ac:dyDescent="0.3">
      <c r="A14" s="11" t="s">
        <v>19</v>
      </c>
      <c r="B14" s="12">
        <v>46304</v>
      </c>
      <c r="C14" s="13">
        <v>0</v>
      </c>
      <c r="D14" s="13">
        <v>0</v>
      </c>
      <c r="E14" s="13">
        <v>0</v>
      </c>
      <c r="F14" s="13">
        <v>0</v>
      </c>
      <c r="G14" s="14">
        <f t="shared" si="0"/>
        <v>0</v>
      </c>
      <c r="H14" s="14">
        <f>IF(OR(WEEKDAY($B14,2)&gt;5,COUNTIF(FESTIVOS!$A:$A,$B14)&gt;0),0,$H$3*24)</f>
        <v>0.49999999999999989</v>
      </c>
      <c r="I14" s="14">
        <f>IF(OR(WEEKDAY($B14,2)&gt;5,COUNTIF(FESTIVOS!$A:$A,$B14)&gt;0),0,$I$3*24)</f>
        <v>8</v>
      </c>
      <c r="J14" s="14">
        <f>IF(OR(WEEKDAY($B14,2)&gt;5,COUNTIF(FESTIVOS!$A:$A,$B14)&gt;0),"",G14-I14-H14)</f>
        <v>-8.5</v>
      </c>
      <c r="K14" s="14" t="str">
        <f>IF(OR(WEEKDAY($B14,2)&gt;5,COUNTIF(FESTIVOS!$A:$A,$B14)&gt;0),G14,"")</f>
        <v/>
      </c>
      <c r="L14" s="11"/>
    </row>
    <row r="15" spans="1:16" x14ac:dyDescent="0.3">
      <c r="A15" s="15" t="s">
        <v>20</v>
      </c>
      <c r="B15" s="16">
        <v>46305</v>
      </c>
      <c r="C15" s="17">
        <v>0</v>
      </c>
      <c r="D15" s="17">
        <v>0</v>
      </c>
      <c r="E15" s="17">
        <v>0</v>
      </c>
      <c r="F15" s="17">
        <v>0</v>
      </c>
      <c r="G15" s="18">
        <f t="shared" si="0"/>
        <v>0</v>
      </c>
      <c r="H15" s="18">
        <f>IF(OR(WEEKDAY($B15,2)&gt;5,COUNTIF(FESTIVOS!$A:$A,$B15)&gt;0),0,$H$3*24)</f>
        <v>0</v>
      </c>
      <c r="I15" s="18">
        <f>IF(OR(WEEKDAY($B15,2)&gt;5,COUNTIF(FESTIVOS!$A:$A,$B15)&gt;0),0,$I$3*24)</f>
        <v>0</v>
      </c>
      <c r="J15" s="18" t="str">
        <f>IF(OR(WEEKDAY($B15,2)&gt;5,COUNTIF(FESTIVOS!$A:$A,$B15)&gt;0),"",G15-I15-H15)</f>
        <v/>
      </c>
      <c r="K15" s="18">
        <f>IF(OR(WEEKDAY($B15,2)&gt;5,COUNTIF(FESTIVOS!$A:$A,$B15)&gt;0),G15,"")</f>
        <v>0</v>
      </c>
      <c r="L15" s="15"/>
    </row>
    <row r="16" spans="1:16" x14ac:dyDescent="0.3">
      <c r="A16" s="15" t="s">
        <v>21</v>
      </c>
      <c r="B16" s="16">
        <v>46306</v>
      </c>
      <c r="C16" s="17">
        <v>0</v>
      </c>
      <c r="D16" s="17">
        <v>0</v>
      </c>
      <c r="E16" s="17">
        <v>0</v>
      </c>
      <c r="F16" s="17">
        <v>0</v>
      </c>
      <c r="G16" s="18">
        <f t="shared" si="0"/>
        <v>0</v>
      </c>
      <c r="H16" s="18">
        <f>IF(OR(WEEKDAY($B16,2)&gt;5,COUNTIF(FESTIVOS!$A:$A,$B16)&gt;0),0,$H$3*24)</f>
        <v>0</v>
      </c>
      <c r="I16" s="18">
        <f>IF(OR(WEEKDAY($B16,2)&gt;5,COUNTIF(FESTIVOS!$A:$A,$B16)&gt;0),0,$I$3*24)</f>
        <v>0</v>
      </c>
      <c r="J16" s="18" t="str">
        <f>IF(OR(WEEKDAY($B16,2)&gt;5,COUNTIF(FESTIVOS!$A:$A,$B16)&gt;0),"",G16-I16-H16)</f>
        <v/>
      </c>
      <c r="K16" s="18">
        <f>IF(OR(WEEKDAY($B16,2)&gt;5,COUNTIF(FESTIVOS!$A:$A,$B16)&gt;0),G16,"")</f>
        <v>0</v>
      </c>
      <c r="L16" s="15"/>
    </row>
    <row r="17" spans="1:12" x14ac:dyDescent="0.3">
      <c r="A17" s="15" t="s">
        <v>15</v>
      </c>
      <c r="B17" s="16">
        <v>46307</v>
      </c>
      <c r="C17" s="17">
        <v>0</v>
      </c>
      <c r="D17" s="17">
        <v>0</v>
      </c>
      <c r="E17" s="17">
        <v>0</v>
      </c>
      <c r="F17" s="17">
        <v>0</v>
      </c>
      <c r="G17" s="18">
        <f t="shared" si="0"/>
        <v>0</v>
      </c>
      <c r="H17" s="18">
        <f>IF(OR(WEEKDAY($B17,2)&gt;5,COUNTIF(FESTIVOS!$A:$A,$B17)&gt;0),0,$H$3*24)</f>
        <v>0</v>
      </c>
      <c r="I17" s="18">
        <f>IF(OR(WEEKDAY($B17,2)&gt;5,COUNTIF(FESTIVOS!$A:$A,$B17)&gt;0),0,$I$3*24)</f>
        <v>0</v>
      </c>
      <c r="J17" s="18" t="str">
        <f>IF(OR(WEEKDAY($B17,2)&gt;5,COUNTIF(FESTIVOS!$A:$A,$B17)&gt;0),"",G17-I17-H17)</f>
        <v/>
      </c>
      <c r="K17" s="18">
        <f>IF(OR(WEEKDAY($B17,2)&gt;5,COUNTIF(FESTIVOS!$A:$A,$B17)&gt;0),G17,"")</f>
        <v>0</v>
      </c>
      <c r="L17" s="15"/>
    </row>
    <row r="18" spans="1:12" x14ac:dyDescent="0.3">
      <c r="A18" s="11" t="s">
        <v>16</v>
      </c>
      <c r="B18" s="12">
        <v>46308</v>
      </c>
      <c r="C18" s="13">
        <v>0</v>
      </c>
      <c r="D18" s="13">
        <v>0</v>
      </c>
      <c r="E18" s="13">
        <v>0</v>
      </c>
      <c r="F18" s="13">
        <v>0</v>
      </c>
      <c r="G18" s="14">
        <f t="shared" si="0"/>
        <v>0</v>
      </c>
      <c r="H18" s="14">
        <f>IF(OR(WEEKDAY($B18,2)&gt;5,COUNTIF(FESTIVOS!$A:$A,$B18)&gt;0),0,$H$3*24)</f>
        <v>0.49999999999999989</v>
      </c>
      <c r="I18" s="14">
        <f>IF(OR(WEEKDAY($B18,2)&gt;5,COUNTIF(FESTIVOS!$A:$A,$B18)&gt;0),0,$I$3*24)</f>
        <v>8</v>
      </c>
      <c r="J18" s="14">
        <f>IF(OR(WEEKDAY($B18,2)&gt;5,COUNTIF(FESTIVOS!$A:$A,$B18)&gt;0),"",G18-I18-H18)</f>
        <v>-8.5</v>
      </c>
      <c r="K18" s="14" t="str">
        <f>IF(OR(WEEKDAY($B18,2)&gt;5,COUNTIF(FESTIVOS!$A:$A,$B18)&gt;0),G18,"")</f>
        <v/>
      </c>
      <c r="L18" s="11"/>
    </row>
    <row r="19" spans="1:12" x14ac:dyDescent="0.3">
      <c r="A19" s="11" t="s">
        <v>17</v>
      </c>
      <c r="B19" s="12">
        <v>46309</v>
      </c>
      <c r="C19" s="13">
        <v>0</v>
      </c>
      <c r="D19" s="13">
        <v>0</v>
      </c>
      <c r="E19" s="13">
        <v>0</v>
      </c>
      <c r="F19" s="13">
        <v>0</v>
      </c>
      <c r="G19" s="14">
        <f t="shared" si="0"/>
        <v>0</v>
      </c>
      <c r="H19" s="14">
        <f>IF(OR(WEEKDAY($B19,2)&gt;5,COUNTIF(FESTIVOS!$A:$A,$B19)&gt;0),0,$H$3*24)</f>
        <v>0.49999999999999989</v>
      </c>
      <c r="I19" s="14">
        <f>IF(OR(WEEKDAY($B19,2)&gt;5,COUNTIF(FESTIVOS!$A:$A,$B19)&gt;0),0,$I$3*24)</f>
        <v>8</v>
      </c>
      <c r="J19" s="14">
        <f>IF(OR(WEEKDAY($B19,2)&gt;5,COUNTIF(FESTIVOS!$A:$A,$B19)&gt;0),"",G19-I19-H19)</f>
        <v>-8.5</v>
      </c>
      <c r="K19" s="14" t="str">
        <f>IF(OR(WEEKDAY($B19,2)&gt;5,COUNTIF(FESTIVOS!$A:$A,$B19)&gt;0),G19,"")</f>
        <v/>
      </c>
      <c r="L19" s="11"/>
    </row>
    <row r="20" spans="1:12" x14ac:dyDescent="0.3">
      <c r="A20" s="11" t="s">
        <v>18</v>
      </c>
      <c r="B20" s="12">
        <v>46310</v>
      </c>
      <c r="C20" s="13">
        <v>0</v>
      </c>
      <c r="D20" s="13">
        <v>0</v>
      </c>
      <c r="E20" s="13">
        <v>0</v>
      </c>
      <c r="F20" s="13">
        <v>0</v>
      </c>
      <c r="G20" s="14">
        <f t="shared" si="0"/>
        <v>0</v>
      </c>
      <c r="H20" s="14">
        <f>IF(OR(WEEKDAY($B20,2)&gt;5,COUNTIF(FESTIVOS!$A:$A,$B20)&gt;0),0,$H$3*24)</f>
        <v>0.49999999999999989</v>
      </c>
      <c r="I20" s="14">
        <f>IF(OR(WEEKDAY($B20,2)&gt;5,COUNTIF(FESTIVOS!$A:$A,$B20)&gt;0),0,$I$3*24)</f>
        <v>8</v>
      </c>
      <c r="J20" s="14">
        <f>IF(OR(WEEKDAY($B20,2)&gt;5,COUNTIF(FESTIVOS!$A:$A,$B20)&gt;0),"",G20-I20-H20)</f>
        <v>-8.5</v>
      </c>
      <c r="K20" s="14" t="str">
        <f>IF(OR(WEEKDAY($B20,2)&gt;5,COUNTIF(FESTIVOS!$A:$A,$B20)&gt;0),G20,"")</f>
        <v/>
      </c>
      <c r="L20" s="11"/>
    </row>
    <row r="21" spans="1:12" x14ac:dyDescent="0.3">
      <c r="A21" s="11" t="s">
        <v>19</v>
      </c>
      <c r="B21" s="12">
        <v>46311</v>
      </c>
      <c r="C21" s="13">
        <v>0</v>
      </c>
      <c r="D21" s="13">
        <v>0</v>
      </c>
      <c r="E21" s="13">
        <v>0</v>
      </c>
      <c r="F21" s="13">
        <v>0</v>
      </c>
      <c r="G21" s="14">
        <f t="shared" si="0"/>
        <v>0</v>
      </c>
      <c r="H21" s="14">
        <f>IF(OR(WEEKDAY($B21,2)&gt;5,COUNTIF(FESTIVOS!$A:$A,$B21)&gt;0),0,$H$3*24)</f>
        <v>0.49999999999999989</v>
      </c>
      <c r="I21" s="14">
        <f>IF(OR(WEEKDAY($B21,2)&gt;5,COUNTIF(FESTIVOS!$A:$A,$B21)&gt;0),0,$I$3*24)</f>
        <v>8</v>
      </c>
      <c r="J21" s="14">
        <f>IF(OR(WEEKDAY($B21,2)&gt;5,COUNTIF(FESTIVOS!$A:$A,$B21)&gt;0),"",G21-I21-H21)</f>
        <v>-8.5</v>
      </c>
      <c r="K21" s="14" t="str">
        <f>IF(OR(WEEKDAY($B21,2)&gt;5,COUNTIF(FESTIVOS!$A:$A,$B21)&gt;0),G21,"")</f>
        <v/>
      </c>
      <c r="L21" s="11"/>
    </row>
    <row r="22" spans="1:12" x14ac:dyDescent="0.3">
      <c r="A22" s="15" t="s">
        <v>20</v>
      </c>
      <c r="B22" s="16">
        <v>46312</v>
      </c>
      <c r="C22" s="17">
        <v>0</v>
      </c>
      <c r="D22" s="17">
        <v>0</v>
      </c>
      <c r="E22" s="17">
        <v>0</v>
      </c>
      <c r="F22" s="17">
        <v>0</v>
      </c>
      <c r="G22" s="18">
        <f t="shared" si="0"/>
        <v>0</v>
      </c>
      <c r="H22" s="18">
        <f>IF(OR(WEEKDAY($B22,2)&gt;5,COUNTIF(FESTIVOS!$A:$A,$B22)&gt;0),0,$H$3*24)</f>
        <v>0</v>
      </c>
      <c r="I22" s="18">
        <f>IF(OR(WEEKDAY($B22,2)&gt;5,COUNTIF(FESTIVOS!$A:$A,$B22)&gt;0),0,$I$3*24)</f>
        <v>0</v>
      </c>
      <c r="J22" s="18" t="str">
        <f>IF(OR(WEEKDAY($B22,2)&gt;5,COUNTIF(FESTIVOS!$A:$A,$B22)&gt;0),"",G22-I22-H22)</f>
        <v/>
      </c>
      <c r="K22" s="18">
        <f>IF(OR(WEEKDAY($B22,2)&gt;5,COUNTIF(FESTIVOS!$A:$A,$B22)&gt;0),G22,"")</f>
        <v>0</v>
      </c>
      <c r="L22" s="15"/>
    </row>
    <row r="23" spans="1:12" x14ac:dyDescent="0.3">
      <c r="A23" s="15" t="s">
        <v>21</v>
      </c>
      <c r="B23" s="16">
        <v>46313</v>
      </c>
      <c r="C23" s="17">
        <v>0</v>
      </c>
      <c r="D23" s="17">
        <v>0</v>
      </c>
      <c r="E23" s="17">
        <v>0</v>
      </c>
      <c r="F23" s="17">
        <v>0</v>
      </c>
      <c r="G23" s="18">
        <f t="shared" si="0"/>
        <v>0</v>
      </c>
      <c r="H23" s="18">
        <f>IF(OR(WEEKDAY($B23,2)&gt;5,COUNTIF(FESTIVOS!$A:$A,$B23)&gt;0),0,$H$3*24)</f>
        <v>0</v>
      </c>
      <c r="I23" s="18">
        <f>IF(OR(WEEKDAY($B23,2)&gt;5,COUNTIF(FESTIVOS!$A:$A,$B23)&gt;0),0,$I$3*24)</f>
        <v>0</v>
      </c>
      <c r="J23" s="18" t="str">
        <f>IF(OR(WEEKDAY($B23,2)&gt;5,COUNTIF(FESTIVOS!$A:$A,$B23)&gt;0),"",G23-I23-H23)</f>
        <v/>
      </c>
      <c r="K23" s="18">
        <f>IF(OR(WEEKDAY($B23,2)&gt;5,COUNTIF(FESTIVOS!$A:$A,$B23)&gt;0),G23,"")</f>
        <v>0</v>
      </c>
      <c r="L23" s="15"/>
    </row>
    <row r="24" spans="1:12" x14ac:dyDescent="0.3">
      <c r="A24" s="11" t="s">
        <v>15</v>
      </c>
      <c r="B24" s="12">
        <v>46314</v>
      </c>
      <c r="C24" s="13">
        <v>0</v>
      </c>
      <c r="D24" s="13">
        <v>0</v>
      </c>
      <c r="E24" s="13">
        <v>0</v>
      </c>
      <c r="F24" s="13">
        <v>0</v>
      </c>
      <c r="G24" s="14">
        <f t="shared" si="0"/>
        <v>0</v>
      </c>
      <c r="H24" s="14">
        <f>IF(OR(WEEKDAY($B24,2)&gt;5,COUNTIF(FESTIVOS!$A:$A,$B24)&gt;0),0,$H$3*24)</f>
        <v>0.49999999999999989</v>
      </c>
      <c r="I24" s="14">
        <f>IF(OR(WEEKDAY($B24,2)&gt;5,COUNTIF(FESTIVOS!$A:$A,$B24)&gt;0),0,$I$3*24)</f>
        <v>8</v>
      </c>
      <c r="J24" s="14">
        <f>IF(OR(WEEKDAY($B24,2)&gt;5,COUNTIF(FESTIVOS!$A:$A,$B24)&gt;0),"",G24-I24-H24)</f>
        <v>-8.5</v>
      </c>
      <c r="K24" s="14" t="str">
        <f>IF(OR(WEEKDAY($B24,2)&gt;5,COUNTIF(FESTIVOS!$A:$A,$B24)&gt;0),G24,"")</f>
        <v/>
      </c>
      <c r="L24" s="11"/>
    </row>
    <row r="25" spans="1:12" x14ac:dyDescent="0.3">
      <c r="A25" s="11" t="s">
        <v>16</v>
      </c>
      <c r="B25" s="12">
        <v>46315</v>
      </c>
      <c r="C25" s="13">
        <v>0</v>
      </c>
      <c r="D25" s="13">
        <v>0</v>
      </c>
      <c r="E25" s="13">
        <v>0</v>
      </c>
      <c r="F25" s="13">
        <v>0</v>
      </c>
      <c r="G25" s="14">
        <f t="shared" si="0"/>
        <v>0</v>
      </c>
      <c r="H25" s="14">
        <f>IF(OR(WEEKDAY($B25,2)&gt;5,COUNTIF(FESTIVOS!$A:$A,$B25)&gt;0),0,$H$3*24)</f>
        <v>0.49999999999999989</v>
      </c>
      <c r="I25" s="14">
        <f>IF(OR(WEEKDAY($B25,2)&gt;5,COUNTIF(FESTIVOS!$A:$A,$B25)&gt;0),0,$I$3*24)</f>
        <v>8</v>
      </c>
      <c r="J25" s="14">
        <f>IF(OR(WEEKDAY($B25,2)&gt;5,COUNTIF(FESTIVOS!$A:$A,$B25)&gt;0),"",G25-I25-H25)</f>
        <v>-8.5</v>
      </c>
      <c r="K25" s="14" t="str">
        <f>IF(OR(WEEKDAY($B25,2)&gt;5,COUNTIF(FESTIVOS!$A:$A,$B25)&gt;0),G25,"")</f>
        <v/>
      </c>
      <c r="L25" s="11"/>
    </row>
    <row r="26" spans="1:12" x14ac:dyDescent="0.3">
      <c r="A26" s="11" t="s">
        <v>17</v>
      </c>
      <c r="B26" s="12">
        <v>46316</v>
      </c>
      <c r="C26" s="13">
        <v>0</v>
      </c>
      <c r="D26" s="13">
        <v>0</v>
      </c>
      <c r="E26" s="13">
        <v>0</v>
      </c>
      <c r="F26" s="13">
        <v>0</v>
      </c>
      <c r="G26" s="14">
        <f t="shared" si="0"/>
        <v>0</v>
      </c>
      <c r="H26" s="14">
        <f>IF(OR(WEEKDAY($B26,2)&gt;5,COUNTIF(FESTIVOS!$A:$A,$B26)&gt;0),0,$H$3*24)</f>
        <v>0.49999999999999989</v>
      </c>
      <c r="I26" s="14">
        <f>IF(OR(WEEKDAY($B26,2)&gt;5,COUNTIF(FESTIVOS!$A:$A,$B26)&gt;0),0,$I$3*24)</f>
        <v>8</v>
      </c>
      <c r="J26" s="14">
        <f>IF(OR(WEEKDAY($B26,2)&gt;5,COUNTIF(FESTIVOS!$A:$A,$B26)&gt;0),"",G26-I26-H26)</f>
        <v>-8.5</v>
      </c>
      <c r="K26" s="14" t="str">
        <f>IF(OR(WEEKDAY($B26,2)&gt;5,COUNTIF(FESTIVOS!$A:$A,$B26)&gt;0),G26,"")</f>
        <v/>
      </c>
      <c r="L26" s="11"/>
    </row>
    <row r="27" spans="1:12" x14ac:dyDescent="0.3">
      <c r="A27" s="11" t="s">
        <v>18</v>
      </c>
      <c r="B27" s="12">
        <v>46317</v>
      </c>
      <c r="C27" s="13">
        <v>0</v>
      </c>
      <c r="D27" s="13">
        <v>0</v>
      </c>
      <c r="E27" s="13">
        <v>0</v>
      </c>
      <c r="F27" s="13">
        <v>0</v>
      </c>
      <c r="G27" s="14">
        <f t="shared" si="0"/>
        <v>0</v>
      </c>
      <c r="H27" s="14">
        <f>IF(OR(WEEKDAY($B27,2)&gt;5,COUNTIF(FESTIVOS!$A:$A,$B27)&gt;0),0,$H$3*24)</f>
        <v>0.49999999999999989</v>
      </c>
      <c r="I27" s="14">
        <f>IF(OR(WEEKDAY($B27,2)&gt;5,COUNTIF(FESTIVOS!$A:$A,$B27)&gt;0),0,$I$3*24)</f>
        <v>8</v>
      </c>
      <c r="J27" s="14">
        <f>IF(OR(WEEKDAY($B27,2)&gt;5,COUNTIF(FESTIVOS!$A:$A,$B27)&gt;0),"",G27-I27-H27)</f>
        <v>-8.5</v>
      </c>
      <c r="K27" s="14" t="str">
        <f>IF(OR(WEEKDAY($B27,2)&gt;5,COUNTIF(FESTIVOS!$A:$A,$B27)&gt;0),G27,"")</f>
        <v/>
      </c>
      <c r="L27" s="11"/>
    </row>
    <row r="28" spans="1:12" x14ac:dyDescent="0.3">
      <c r="A28" s="11" t="s">
        <v>19</v>
      </c>
      <c r="B28" s="12">
        <v>46318</v>
      </c>
      <c r="C28" s="13">
        <v>0</v>
      </c>
      <c r="D28" s="13">
        <v>0</v>
      </c>
      <c r="E28" s="13">
        <v>0</v>
      </c>
      <c r="F28" s="13">
        <v>0</v>
      </c>
      <c r="G28" s="14">
        <f t="shared" si="0"/>
        <v>0</v>
      </c>
      <c r="H28" s="14">
        <f>IF(OR(WEEKDAY($B28,2)&gt;5,COUNTIF(FESTIVOS!$A:$A,$B28)&gt;0),0,$H$3*24)</f>
        <v>0.49999999999999989</v>
      </c>
      <c r="I28" s="14">
        <f>IF(OR(WEEKDAY($B28,2)&gt;5,COUNTIF(FESTIVOS!$A:$A,$B28)&gt;0),0,$I$3*24)</f>
        <v>8</v>
      </c>
      <c r="J28" s="14">
        <f>IF(OR(WEEKDAY($B28,2)&gt;5,COUNTIF(FESTIVOS!$A:$A,$B28)&gt;0),"",G28-I28-H28)</f>
        <v>-8.5</v>
      </c>
      <c r="K28" s="14" t="str">
        <f>IF(OR(WEEKDAY($B28,2)&gt;5,COUNTIF(FESTIVOS!$A:$A,$B28)&gt;0),G28,"")</f>
        <v/>
      </c>
      <c r="L28" s="11"/>
    </row>
    <row r="29" spans="1:12" x14ac:dyDescent="0.3">
      <c r="A29" s="15" t="s">
        <v>20</v>
      </c>
      <c r="B29" s="16">
        <v>46319</v>
      </c>
      <c r="C29" s="17">
        <v>0</v>
      </c>
      <c r="D29" s="17">
        <v>0</v>
      </c>
      <c r="E29" s="17">
        <v>0</v>
      </c>
      <c r="F29" s="17">
        <v>0</v>
      </c>
      <c r="G29" s="18">
        <f t="shared" si="0"/>
        <v>0</v>
      </c>
      <c r="H29" s="18">
        <f>IF(OR(WEEKDAY($B29,2)&gt;5,COUNTIF(FESTIVOS!$A:$A,$B29)&gt;0),0,$H$3*24)</f>
        <v>0</v>
      </c>
      <c r="I29" s="18">
        <f>IF(OR(WEEKDAY($B29,2)&gt;5,COUNTIF(FESTIVOS!$A:$A,$B29)&gt;0),0,$I$3*24)</f>
        <v>0</v>
      </c>
      <c r="J29" s="18" t="str">
        <f>IF(OR(WEEKDAY($B29,2)&gt;5,COUNTIF(FESTIVOS!$A:$A,$B29)&gt;0),"",G29-I29-H29)</f>
        <v/>
      </c>
      <c r="K29" s="18">
        <f>IF(OR(WEEKDAY($B29,2)&gt;5,COUNTIF(FESTIVOS!$A:$A,$B29)&gt;0),G29,"")</f>
        <v>0</v>
      </c>
      <c r="L29" s="15"/>
    </row>
    <row r="30" spans="1:12" x14ac:dyDescent="0.3">
      <c r="A30" s="15" t="s">
        <v>21</v>
      </c>
      <c r="B30" s="16">
        <v>46320</v>
      </c>
      <c r="C30" s="17">
        <v>0</v>
      </c>
      <c r="D30" s="17">
        <v>0</v>
      </c>
      <c r="E30" s="17">
        <v>0</v>
      </c>
      <c r="F30" s="17">
        <v>0</v>
      </c>
      <c r="G30" s="18">
        <f t="shared" si="0"/>
        <v>0</v>
      </c>
      <c r="H30" s="18">
        <f>IF(OR(WEEKDAY($B30,2)&gt;5,COUNTIF(FESTIVOS!$A:$A,$B30)&gt;0),0,$H$3*24)</f>
        <v>0</v>
      </c>
      <c r="I30" s="18">
        <f>IF(OR(WEEKDAY($B30,2)&gt;5,COUNTIF(FESTIVOS!$A:$A,$B30)&gt;0),0,$I$3*24)</f>
        <v>0</v>
      </c>
      <c r="J30" s="18" t="str">
        <f>IF(OR(WEEKDAY($B30,2)&gt;5,COUNTIF(FESTIVOS!$A:$A,$B30)&gt;0),"",G30-I30-H30)</f>
        <v/>
      </c>
      <c r="K30" s="18">
        <f>IF(OR(WEEKDAY($B30,2)&gt;5,COUNTIF(FESTIVOS!$A:$A,$B30)&gt;0),G30,"")</f>
        <v>0</v>
      </c>
      <c r="L30" s="15"/>
    </row>
    <row r="31" spans="1:12" x14ac:dyDescent="0.3">
      <c r="A31" s="11" t="s">
        <v>15</v>
      </c>
      <c r="B31" s="12">
        <v>46321</v>
      </c>
      <c r="C31" s="13">
        <v>0</v>
      </c>
      <c r="D31" s="13">
        <v>0</v>
      </c>
      <c r="E31" s="13">
        <v>0</v>
      </c>
      <c r="F31" s="13">
        <v>0</v>
      </c>
      <c r="G31" s="14">
        <f t="shared" si="0"/>
        <v>0</v>
      </c>
      <c r="H31" s="14">
        <f>IF(OR(WEEKDAY($B31,2)&gt;5,COUNTIF(FESTIVOS!$A:$A,$B31)&gt;0),0,$H$3*24)</f>
        <v>0.49999999999999989</v>
      </c>
      <c r="I31" s="14">
        <f>IF(OR(WEEKDAY($B31,2)&gt;5,COUNTIF(FESTIVOS!$A:$A,$B31)&gt;0),0,$I$3*24)</f>
        <v>8</v>
      </c>
      <c r="J31" s="14">
        <f>IF(OR(WEEKDAY($B31,2)&gt;5,COUNTIF(FESTIVOS!$A:$A,$B31)&gt;0),"",G31-I31-H31)</f>
        <v>-8.5</v>
      </c>
      <c r="K31" s="14" t="str">
        <f>IF(OR(WEEKDAY($B31,2)&gt;5,COUNTIF(FESTIVOS!$A:$A,$B31)&gt;0),G31,"")</f>
        <v/>
      </c>
      <c r="L31" s="11"/>
    </row>
    <row r="32" spans="1:12" x14ac:dyDescent="0.3">
      <c r="A32" s="11" t="s">
        <v>16</v>
      </c>
      <c r="B32" s="12">
        <v>46322</v>
      </c>
      <c r="C32" s="13">
        <v>0</v>
      </c>
      <c r="D32" s="13">
        <v>0</v>
      </c>
      <c r="E32" s="13">
        <v>0</v>
      </c>
      <c r="F32" s="13">
        <v>0</v>
      </c>
      <c r="G32" s="14">
        <f t="shared" si="0"/>
        <v>0</v>
      </c>
      <c r="H32" s="14">
        <f>IF(OR(WEEKDAY($B32,2)&gt;5,COUNTIF(FESTIVOS!$A:$A,$B32)&gt;0),0,$H$3*24)</f>
        <v>0.49999999999999989</v>
      </c>
      <c r="I32" s="14">
        <f>IF(OR(WEEKDAY($B32,2)&gt;5,COUNTIF(FESTIVOS!$A:$A,$B32)&gt;0),0,$I$3*24)</f>
        <v>8</v>
      </c>
      <c r="J32" s="14">
        <f>IF(OR(WEEKDAY($B32,2)&gt;5,COUNTIF(FESTIVOS!$A:$A,$B32)&gt;0),"",G32-I32-H32)</f>
        <v>-8.5</v>
      </c>
      <c r="K32" s="14" t="str">
        <f>IF(OR(WEEKDAY($B32,2)&gt;5,COUNTIF(FESTIVOS!$A:$A,$B32)&gt;0),G32,"")</f>
        <v/>
      </c>
      <c r="L32" s="11"/>
    </row>
    <row r="33" spans="1:12" x14ac:dyDescent="0.3">
      <c r="A33" s="11" t="s">
        <v>17</v>
      </c>
      <c r="B33" s="12">
        <v>46323</v>
      </c>
      <c r="C33" s="13">
        <v>0</v>
      </c>
      <c r="D33" s="13">
        <v>0</v>
      </c>
      <c r="E33" s="13">
        <v>0</v>
      </c>
      <c r="F33" s="13">
        <v>0</v>
      </c>
      <c r="G33" s="14">
        <f t="shared" si="0"/>
        <v>0</v>
      </c>
      <c r="H33" s="14">
        <f>IF(OR(WEEKDAY($B33,2)&gt;5,COUNTIF(FESTIVOS!$A:$A,$B33)&gt;0),0,$H$3*24)</f>
        <v>0.49999999999999989</v>
      </c>
      <c r="I33" s="14">
        <f>IF(OR(WEEKDAY($B33,2)&gt;5,COUNTIF(FESTIVOS!$A:$A,$B33)&gt;0),0,$I$3*24)</f>
        <v>8</v>
      </c>
      <c r="J33" s="14">
        <f>IF(OR(WEEKDAY($B33,2)&gt;5,COUNTIF(FESTIVOS!$A:$A,$B33)&gt;0),"",G33-I33-H33)</f>
        <v>-8.5</v>
      </c>
      <c r="K33" s="14" t="str">
        <f>IF(OR(WEEKDAY($B33,2)&gt;5,COUNTIF(FESTIVOS!$A:$A,$B33)&gt;0),G33,"")</f>
        <v/>
      </c>
      <c r="L33" s="11"/>
    </row>
    <row r="34" spans="1:12" x14ac:dyDescent="0.3">
      <c r="A34" s="11" t="s">
        <v>18</v>
      </c>
      <c r="B34" s="12">
        <v>46324</v>
      </c>
      <c r="C34" s="13">
        <v>0</v>
      </c>
      <c r="D34" s="13">
        <v>0</v>
      </c>
      <c r="E34" s="13">
        <v>0</v>
      </c>
      <c r="F34" s="13">
        <v>0</v>
      </c>
      <c r="G34" s="14">
        <f t="shared" si="0"/>
        <v>0</v>
      </c>
      <c r="H34" s="14">
        <f>IF(OR(WEEKDAY($B34,2)&gt;5,COUNTIF(FESTIVOS!$A:$A,$B34)&gt;0),0,$H$3*24)</f>
        <v>0.49999999999999989</v>
      </c>
      <c r="I34" s="14">
        <f>IF(OR(WEEKDAY($B34,2)&gt;5,COUNTIF(FESTIVOS!$A:$A,$B34)&gt;0),0,$I$3*24)</f>
        <v>8</v>
      </c>
      <c r="J34" s="14">
        <f>IF(OR(WEEKDAY($B34,2)&gt;5,COUNTIF(FESTIVOS!$A:$A,$B34)&gt;0),"",G34-I34-H34)</f>
        <v>-8.5</v>
      </c>
      <c r="K34" s="14" t="str">
        <f>IF(OR(WEEKDAY($B34,2)&gt;5,COUNTIF(FESTIVOS!$A:$A,$B34)&gt;0),G34,"")</f>
        <v/>
      </c>
      <c r="L34" s="11"/>
    </row>
    <row r="35" spans="1:12" x14ac:dyDescent="0.3">
      <c r="A35" s="11" t="s">
        <v>19</v>
      </c>
      <c r="B35" s="12">
        <v>46325</v>
      </c>
      <c r="C35" s="13">
        <v>0</v>
      </c>
      <c r="D35" s="13">
        <v>0</v>
      </c>
      <c r="E35" s="13">
        <v>0</v>
      </c>
      <c r="F35" s="13">
        <v>0</v>
      </c>
      <c r="G35" s="14">
        <f t="shared" si="0"/>
        <v>0</v>
      </c>
      <c r="H35" s="14">
        <f>IF(OR(WEEKDAY($B35,2)&gt;5,COUNTIF(FESTIVOS!$A:$A,$B35)&gt;0),0,$H$3*24)</f>
        <v>0.49999999999999989</v>
      </c>
      <c r="I35" s="14">
        <f>IF(OR(WEEKDAY($B35,2)&gt;5,COUNTIF(FESTIVOS!$A:$A,$B35)&gt;0),0,$I$3*24)</f>
        <v>8</v>
      </c>
      <c r="J35" s="14">
        <f>IF(OR(WEEKDAY($B35,2)&gt;5,COUNTIF(FESTIVOS!$A:$A,$B35)&gt;0),"",G35-I35-H35)</f>
        <v>-8.5</v>
      </c>
      <c r="K35" s="14" t="str">
        <f>IF(OR(WEEKDAY($B35,2)&gt;5,COUNTIF(FESTIVOS!$A:$A,$B35)&gt;0),G35,"")</f>
        <v/>
      </c>
      <c r="L35" s="11"/>
    </row>
    <row r="36" spans="1:12" x14ac:dyDescent="0.3">
      <c r="A36" s="15" t="s">
        <v>20</v>
      </c>
      <c r="B36" s="16">
        <v>46326</v>
      </c>
      <c r="C36" s="17">
        <v>0</v>
      </c>
      <c r="D36" s="17">
        <v>0</v>
      </c>
      <c r="E36" s="17">
        <v>0</v>
      </c>
      <c r="F36" s="17">
        <v>0</v>
      </c>
      <c r="G36" s="18">
        <f t="shared" si="0"/>
        <v>0</v>
      </c>
      <c r="H36" s="18">
        <f>IF(OR(WEEKDAY($B36,2)&gt;5,COUNTIF(FESTIVOS!$A:$A,$B36)&gt;0),0,$H$3*24)</f>
        <v>0</v>
      </c>
      <c r="I36" s="18">
        <f>IF(OR(WEEKDAY($B36,2)&gt;5,COUNTIF(FESTIVOS!$A:$A,$B36)&gt;0),0,$I$3*24)</f>
        <v>0</v>
      </c>
      <c r="J36" s="18" t="str">
        <f>IF(OR(WEEKDAY($B36,2)&gt;5,COUNTIF(FESTIVOS!$A:$A,$B36)&gt;0),"",G36-I36-H36)</f>
        <v/>
      </c>
      <c r="K36" s="18">
        <f>IF(OR(WEEKDAY($B36,2)&gt;5,COUNTIF(FESTIVOS!$A:$A,$B36)&gt;0),G36,"")</f>
        <v>0</v>
      </c>
      <c r="L36" s="15"/>
    </row>
  </sheetData>
  <mergeCells count="1">
    <mergeCell ref="C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5"/>
  <sheetViews>
    <sheetView workbookViewId="0">
      <selection sqref="A1:XFD1048576"/>
    </sheetView>
  </sheetViews>
  <sheetFormatPr baseColWidth="10" defaultColWidth="9.140625" defaultRowHeight="16.5" x14ac:dyDescent="0.3"/>
  <cols>
    <col min="1" max="1" width="4.7109375" style="2" bestFit="1" customWidth="1"/>
    <col min="2" max="2" width="13.28515625" style="2" bestFit="1" customWidth="1"/>
    <col min="3" max="3" width="11.85546875" style="2" bestFit="1" customWidth="1"/>
    <col min="4" max="4" width="9.7109375" style="2" bestFit="1" customWidth="1"/>
    <col min="5" max="5" width="11.85546875" style="2" bestFit="1" customWidth="1"/>
    <col min="6" max="6" width="12" style="2" bestFit="1" customWidth="1"/>
    <col min="7" max="7" width="9.7109375" style="2" bestFit="1" customWidth="1"/>
    <col min="8" max="8" width="14.7109375" style="2" bestFit="1" customWidth="1"/>
    <col min="9" max="9" width="8" style="2" customWidth="1"/>
    <col min="10" max="10" width="9.28515625" style="2" bestFit="1" customWidth="1"/>
    <col min="11" max="11" width="17.5703125" style="2" bestFit="1" customWidth="1"/>
    <col min="12" max="12" width="20.140625" style="2" bestFit="1" customWidth="1"/>
    <col min="13" max="13" width="9.140625" style="2"/>
    <col min="14" max="14" width="11.5703125" style="2" bestFit="1" customWidth="1"/>
    <col min="15" max="15" width="22.85546875" style="2" bestFit="1" customWidth="1"/>
    <col min="16" max="16" width="11.5703125" style="2" bestFit="1" customWidth="1"/>
    <col min="17" max="16384" width="9.140625" style="2"/>
  </cols>
  <sheetData>
    <row r="1" spans="1:16" ht="18" x14ac:dyDescent="0.35">
      <c r="N1" s="3">
        <v>9</v>
      </c>
      <c r="O1" s="3">
        <v>10</v>
      </c>
    </row>
    <row r="2" spans="1:16" ht="18" x14ac:dyDescent="0.35">
      <c r="C2" s="4" t="s">
        <v>0</v>
      </c>
      <c r="D2" s="5"/>
      <c r="F2" s="6" t="s">
        <v>1</v>
      </c>
      <c r="N2" s="6" t="s">
        <v>2</v>
      </c>
      <c r="O2" s="6" t="s">
        <v>3</v>
      </c>
    </row>
    <row r="3" spans="1:16" ht="18" x14ac:dyDescent="0.35">
      <c r="F3" s="6" t="s">
        <v>32</v>
      </c>
      <c r="H3" s="7">
        <v>2.0833333333333329E-2</v>
      </c>
      <c r="I3" s="7">
        <v>0.33333333333333331</v>
      </c>
      <c r="N3" s="8" t="e">
        <f>SUMPRODUCT((J6:J35&gt;0)*(J6:J35))</f>
        <v>#VALUE!</v>
      </c>
      <c r="O3" s="8">
        <f>SUM(K6:K35)</f>
        <v>0</v>
      </c>
    </row>
    <row r="4" spans="1:16" ht="18" x14ac:dyDescent="0.35">
      <c r="P4" s="6" t="s">
        <v>5</v>
      </c>
    </row>
    <row r="5" spans="1:16" ht="18" x14ac:dyDescent="0.35">
      <c r="A5" s="9" t="s">
        <v>6</v>
      </c>
      <c r="B5" s="9" t="s">
        <v>7</v>
      </c>
      <c r="C5" s="9" t="s">
        <v>8</v>
      </c>
      <c r="D5" s="9" t="s">
        <v>9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2</v>
      </c>
      <c r="K5" s="9" t="s">
        <v>13</v>
      </c>
      <c r="L5" s="9" t="s">
        <v>14</v>
      </c>
      <c r="N5" s="10" t="e">
        <f>N3*N1</f>
        <v>#VALUE!</v>
      </c>
      <c r="O5" s="10">
        <f>O3*O1</f>
        <v>0</v>
      </c>
      <c r="P5" s="10" t="e">
        <f>N5+O5</f>
        <v>#VALUE!</v>
      </c>
    </row>
    <row r="6" spans="1:16" x14ac:dyDescent="0.3">
      <c r="A6" s="15" t="s">
        <v>21</v>
      </c>
      <c r="B6" s="16">
        <v>46327</v>
      </c>
      <c r="C6" s="17">
        <v>0</v>
      </c>
      <c r="D6" s="17">
        <v>0</v>
      </c>
      <c r="E6" s="17">
        <v>0</v>
      </c>
      <c r="F6" s="17">
        <v>0</v>
      </c>
      <c r="G6" s="18">
        <f t="shared" ref="G6:G35" si="0">IF(AND(C6="",D6="",E6="",F6=""),0,(F6-E6+D6-C6)*24)</f>
        <v>0</v>
      </c>
      <c r="H6" s="18">
        <f>IF(OR(WEEKDAY($B6,2)&gt;5,COUNTIF(FESTIVOS!$A:$A,$B6)&gt;0),0,$H$3*24)</f>
        <v>0</v>
      </c>
      <c r="I6" s="18">
        <f>IF(OR(WEEKDAY($B6,2)&gt;5,COUNTIF(FESTIVOS!$A:$A,$B6)&gt;0),0,$I$3*24)</f>
        <v>0</v>
      </c>
      <c r="J6" s="18" t="str">
        <f>IF(OR(WEEKDAY($B6,2)&gt;5,COUNTIF(FESTIVOS!$A:$A,$B6)&gt;0),"",G6-I6-H6)</f>
        <v/>
      </c>
      <c r="K6" s="18">
        <f>IF(OR(WEEKDAY($B6,2)&gt;5,COUNTIF(FESTIVOS!$A:$A,$B6)&gt;0),G6,"")</f>
        <v>0</v>
      </c>
      <c r="L6" s="15"/>
    </row>
    <row r="7" spans="1:16" x14ac:dyDescent="0.3">
      <c r="A7" s="11" t="s">
        <v>15</v>
      </c>
      <c r="B7" s="12">
        <v>46328</v>
      </c>
      <c r="C7" s="13">
        <v>0</v>
      </c>
      <c r="D7" s="13">
        <v>0</v>
      </c>
      <c r="E7" s="13">
        <v>0</v>
      </c>
      <c r="F7" s="13">
        <v>0</v>
      </c>
      <c r="G7" s="14">
        <f t="shared" si="0"/>
        <v>0</v>
      </c>
      <c r="H7" s="14">
        <f>IF(OR(WEEKDAY($B7,2)&gt;5,COUNTIF(FESTIVOS!$A:$A,$B7)&gt;0),0,$H$3*24)</f>
        <v>0.49999999999999989</v>
      </c>
      <c r="I7" s="14">
        <f>IF(OR(WEEKDAY($B7,2)&gt;5,COUNTIF(FESTIVOS!$A:$A,$B7)&gt;0),0,$I$3*24)</f>
        <v>8</v>
      </c>
      <c r="J7" s="14">
        <f>IF(OR(WEEKDAY($B7,2)&gt;5,COUNTIF(FESTIVOS!$A:$A,$B7)&gt;0),"",G7-I7-H7)</f>
        <v>-8.5</v>
      </c>
      <c r="K7" s="14" t="str">
        <f>IF(OR(WEEKDAY($B7,2)&gt;5,COUNTIF(FESTIVOS!$A:$A,$B7)&gt;0),G7,"")</f>
        <v/>
      </c>
      <c r="L7" s="11"/>
    </row>
    <row r="8" spans="1:16" x14ac:dyDescent="0.3">
      <c r="A8" s="11" t="s">
        <v>16</v>
      </c>
      <c r="B8" s="12">
        <v>46329</v>
      </c>
      <c r="C8" s="13">
        <v>0</v>
      </c>
      <c r="D8" s="13">
        <v>0</v>
      </c>
      <c r="E8" s="13">
        <v>0</v>
      </c>
      <c r="F8" s="13">
        <v>0</v>
      </c>
      <c r="G8" s="14">
        <f t="shared" si="0"/>
        <v>0</v>
      </c>
      <c r="H8" s="14">
        <f>IF(OR(WEEKDAY($B8,2)&gt;5,COUNTIF(FESTIVOS!$A:$A,$B8)&gt;0),0,$H$3*24)</f>
        <v>0.49999999999999989</v>
      </c>
      <c r="I8" s="14">
        <f>IF(OR(WEEKDAY($B8,2)&gt;5,COUNTIF(FESTIVOS!$A:$A,$B8)&gt;0),0,$I$3*24)</f>
        <v>8</v>
      </c>
      <c r="J8" s="14">
        <f>IF(OR(WEEKDAY($B8,2)&gt;5,COUNTIF(FESTIVOS!$A:$A,$B8)&gt;0),"",G8-I8-H8)</f>
        <v>-8.5</v>
      </c>
      <c r="K8" s="14" t="str">
        <f>IF(OR(WEEKDAY($B8,2)&gt;5,COUNTIF(FESTIVOS!$A:$A,$B8)&gt;0),G8,"")</f>
        <v/>
      </c>
      <c r="L8" s="11"/>
    </row>
    <row r="9" spans="1:16" x14ac:dyDescent="0.3">
      <c r="A9" s="11" t="s">
        <v>17</v>
      </c>
      <c r="B9" s="12">
        <v>46330</v>
      </c>
      <c r="C9" s="13">
        <v>0</v>
      </c>
      <c r="D9" s="13">
        <v>0</v>
      </c>
      <c r="E9" s="13">
        <v>0</v>
      </c>
      <c r="F9" s="13">
        <v>0</v>
      </c>
      <c r="G9" s="14">
        <f t="shared" si="0"/>
        <v>0</v>
      </c>
      <c r="H9" s="14">
        <f>IF(OR(WEEKDAY($B9,2)&gt;5,COUNTIF(FESTIVOS!$A:$A,$B9)&gt;0),0,$H$3*24)</f>
        <v>0.49999999999999989</v>
      </c>
      <c r="I9" s="14">
        <f>IF(OR(WEEKDAY($B9,2)&gt;5,COUNTIF(FESTIVOS!$A:$A,$B9)&gt;0),0,$I$3*24)</f>
        <v>8</v>
      </c>
      <c r="J9" s="14">
        <f>IF(OR(WEEKDAY($B9,2)&gt;5,COUNTIF(FESTIVOS!$A:$A,$B9)&gt;0),"",G9-I9-H9)</f>
        <v>-8.5</v>
      </c>
      <c r="K9" s="14" t="str">
        <f>IF(OR(WEEKDAY($B9,2)&gt;5,COUNTIF(FESTIVOS!$A:$A,$B9)&gt;0),G9,"")</f>
        <v/>
      </c>
      <c r="L9" s="11"/>
    </row>
    <row r="10" spans="1:16" x14ac:dyDescent="0.3">
      <c r="A10" s="11" t="s">
        <v>18</v>
      </c>
      <c r="B10" s="12">
        <v>46331</v>
      </c>
      <c r="C10" s="13">
        <v>0</v>
      </c>
      <c r="D10" s="13">
        <v>0</v>
      </c>
      <c r="E10" s="13">
        <v>0</v>
      </c>
      <c r="F10" s="13">
        <v>0</v>
      </c>
      <c r="G10" s="14">
        <f t="shared" si="0"/>
        <v>0</v>
      </c>
      <c r="H10" s="14">
        <f>IF(OR(WEEKDAY($B10,2)&gt;5,COUNTIF(FESTIVOS!$A:$A,$B10)&gt;0),0,$H$3*24)</f>
        <v>0.49999999999999989</v>
      </c>
      <c r="I10" s="14">
        <f>IF(OR(WEEKDAY($B10,2)&gt;5,COUNTIF(FESTIVOS!$A:$A,$B10)&gt;0),0,$I$3*24)</f>
        <v>8</v>
      </c>
      <c r="J10" s="14">
        <f>IF(OR(WEEKDAY($B10,2)&gt;5,COUNTIF(FESTIVOS!$A:$A,$B10)&gt;0),"",G10-I10-H10)</f>
        <v>-8.5</v>
      </c>
      <c r="K10" s="14" t="str">
        <f>IF(OR(WEEKDAY($B10,2)&gt;5,COUNTIF(FESTIVOS!$A:$A,$B10)&gt;0),G10,"")</f>
        <v/>
      </c>
      <c r="L10" s="11"/>
    </row>
    <row r="11" spans="1:16" x14ac:dyDescent="0.3">
      <c r="A11" s="11" t="s">
        <v>19</v>
      </c>
      <c r="B11" s="12">
        <v>46332</v>
      </c>
      <c r="C11" s="13">
        <v>0</v>
      </c>
      <c r="D11" s="13">
        <v>0</v>
      </c>
      <c r="E11" s="13">
        <v>0</v>
      </c>
      <c r="F11" s="13">
        <v>0</v>
      </c>
      <c r="G11" s="14">
        <f t="shared" si="0"/>
        <v>0</v>
      </c>
      <c r="H11" s="14">
        <f>IF(OR(WEEKDAY($B11,2)&gt;5,COUNTIF(FESTIVOS!$A:$A,$B11)&gt;0),0,$H$3*24)</f>
        <v>0.49999999999999989</v>
      </c>
      <c r="I11" s="14">
        <f>IF(OR(WEEKDAY($B11,2)&gt;5,COUNTIF(FESTIVOS!$A:$A,$B11)&gt;0),0,$I$3*24)</f>
        <v>8</v>
      </c>
      <c r="J11" s="14">
        <f>IF(OR(WEEKDAY($B11,2)&gt;5,COUNTIF(FESTIVOS!$A:$A,$B11)&gt;0),"",G11-I11-H11)</f>
        <v>-8.5</v>
      </c>
      <c r="K11" s="14" t="str">
        <f>IF(OR(WEEKDAY($B11,2)&gt;5,COUNTIF(FESTIVOS!$A:$A,$B11)&gt;0),G11,"")</f>
        <v/>
      </c>
      <c r="L11" s="11"/>
    </row>
    <row r="12" spans="1:16" x14ac:dyDescent="0.3">
      <c r="A12" s="15" t="s">
        <v>20</v>
      </c>
      <c r="B12" s="16">
        <v>46333</v>
      </c>
      <c r="C12" s="17">
        <v>0</v>
      </c>
      <c r="D12" s="17">
        <v>0</v>
      </c>
      <c r="E12" s="17">
        <v>0</v>
      </c>
      <c r="F12" s="17">
        <v>0</v>
      </c>
      <c r="G12" s="18">
        <f t="shared" si="0"/>
        <v>0</v>
      </c>
      <c r="H12" s="18">
        <f>IF(OR(WEEKDAY($B12,2)&gt;5,COUNTIF(FESTIVOS!$A:$A,$B12)&gt;0),0,$H$3*24)</f>
        <v>0</v>
      </c>
      <c r="I12" s="18">
        <f>IF(OR(WEEKDAY($B12,2)&gt;5,COUNTIF(FESTIVOS!$A:$A,$B12)&gt;0),0,$I$3*24)</f>
        <v>0</v>
      </c>
      <c r="J12" s="18" t="str">
        <f>IF(OR(WEEKDAY($B12,2)&gt;5,COUNTIF(FESTIVOS!$A:$A,$B12)&gt;0),"",G12-I12-H12)</f>
        <v/>
      </c>
      <c r="K12" s="18">
        <f>IF(OR(WEEKDAY($B12,2)&gt;5,COUNTIF(FESTIVOS!$A:$A,$B12)&gt;0),G12,"")</f>
        <v>0</v>
      </c>
      <c r="L12" s="15"/>
    </row>
    <row r="13" spans="1:16" x14ac:dyDescent="0.3">
      <c r="A13" s="15" t="s">
        <v>21</v>
      </c>
      <c r="B13" s="16">
        <v>46334</v>
      </c>
      <c r="C13" s="17">
        <v>0</v>
      </c>
      <c r="D13" s="17">
        <v>0</v>
      </c>
      <c r="E13" s="17">
        <v>0</v>
      </c>
      <c r="F13" s="17">
        <v>0</v>
      </c>
      <c r="G13" s="18">
        <f t="shared" si="0"/>
        <v>0</v>
      </c>
      <c r="H13" s="18">
        <f>IF(OR(WEEKDAY($B13,2)&gt;5,COUNTIF(FESTIVOS!$A:$A,$B13)&gt;0),0,$H$3*24)</f>
        <v>0</v>
      </c>
      <c r="I13" s="18">
        <f>IF(OR(WEEKDAY($B13,2)&gt;5,COUNTIF(FESTIVOS!$A:$A,$B13)&gt;0),0,$I$3*24)</f>
        <v>0</v>
      </c>
      <c r="J13" s="18" t="str">
        <f>IF(OR(WEEKDAY($B13,2)&gt;5,COUNTIF(FESTIVOS!$A:$A,$B13)&gt;0),"",G13-I13-H13)</f>
        <v/>
      </c>
      <c r="K13" s="18">
        <f>IF(OR(WEEKDAY($B13,2)&gt;5,COUNTIF(FESTIVOS!$A:$A,$B13)&gt;0),G13,"")</f>
        <v>0</v>
      </c>
      <c r="L13" s="15"/>
    </row>
    <row r="14" spans="1:16" x14ac:dyDescent="0.3">
      <c r="A14" s="11" t="s">
        <v>15</v>
      </c>
      <c r="B14" s="12">
        <v>46335</v>
      </c>
      <c r="C14" s="13">
        <v>0</v>
      </c>
      <c r="D14" s="13">
        <v>0</v>
      </c>
      <c r="E14" s="13">
        <v>0</v>
      </c>
      <c r="F14" s="13">
        <v>0</v>
      </c>
      <c r="G14" s="14">
        <f t="shared" si="0"/>
        <v>0</v>
      </c>
      <c r="H14" s="14">
        <f>IF(OR(WEEKDAY($B14,2)&gt;5,COUNTIF(FESTIVOS!$A:$A,$B14)&gt;0),0,$H$3*24)</f>
        <v>0.49999999999999989</v>
      </c>
      <c r="I14" s="14">
        <f>IF(OR(WEEKDAY($B14,2)&gt;5,COUNTIF(FESTIVOS!$A:$A,$B14)&gt;0),0,$I$3*24)</f>
        <v>8</v>
      </c>
      <c r="J14" s="14">
        <f>IF(OR(WEEKDAY($B14,2)&gt;5,COUNTIF(FESTIVOS!$A:$A,$B14)&gt;0),"",G14-I14-H14)</f>
        <v>-8.5</v>
      </c>
      <c r="K14" s="14" t="str">
        <f>IF(OR(WEEKDAY($B14,2)&gt;5,COUNTIF(FESTIVOS!$A:$A,$B14)&gt;0),G14,"")</f>
        <v/>
      </c>
      <c r="L14" s="11"/>
    </row>
    <row r="15" spans="1:16" x14ac:dyDescent="0.3">
      <c r="A15" s="11" t="s">
        <v>16</v>
      </c>
      <c r="B15" s="12">
        <v>46336</v>
      </c>
      <c r="C15" s="13">
        <v>0</v>
      </c>
      <c r="D15" s="13">
        <v>0</v>
      </c>
      <c r="E15" s="13">
        <v>0</v>
      </c>
      <c r="F15" s="13">
        <v>0</v>
      </c>
      <c r="G15" s="14">
        <f t="shared" si="0"/>
        <v>0</v>
      </c>
      <c r="H15" s="14">
        <f>IF(OR(WEEKDAY($B15,2)&gt;5,COUNTIF(FESTIVOS!$A:$A,$B15)&gt;0),0,$H$3*24)</f>
        <v>0.49999999999999989</v>
      </c>
      <c r="I15" s="14">
        <f>IF(OR(WEEKDAY($B15,2)&gt;5,COUNTIF(FESTIVOS!$A:$A,$B15)&gt;0),0,$I$3*24)</f>
        <v>8</v>
      </c>
      <c r="J15" s="14">
        <f>IF(OR(WEEKDAY($B15,2)&gt;5,COUNTIF(FESTIVOS!$A:$A,$B15)&gt;0),"",G15-I15-H15)</f>
        <v>-8.5</v>
      </c>
      <c r="K15" s="14" t="str">
        <f>IF(OR(WEEKDAY($B15,2)&gt;5,COUNTIF(FESTIVOS!$A:$A,$B15)&gt;0),G15,"")</f>
        <v/>
      </c>
      <c r="L15" s="11"/>
    </row>
    <row r="16" spans="1:16" x14ac:dyDescent="0.3">
      <c r="A16" s="11" t="s">
        <v>17</v>
      </c>
      <c r="B16" s="12">
        <v>46337</v>
      </c>
      <c r="C16" s="13">
        <v>0</v>
      </c>
      <c r="D16" s="13">
        <v>0</v>
      </c>
      <c r="E16" s="13">
        <v>0</v>
      </c>
      <c r="F16" s="13">
        <v>0</v>
      </c>
      <c r="G16" s="14">
        <f t="shared" si="0"/>
        <v>0</v>
      </c>
      <c r="H16" s="14">
        <f>IF(OR(WEEKDAY($B16,2)&gt;5,COUNTIF(FESTIVOS!$A:$A,$B16)&gt;0),0,$H$3*24)</f>
        <v>0.49999999999999989</v>
      </c>
      <c r="I16" s="14">
        <f>IF(OR(WEEKDAY($B16,2)&gt;5,COUNTIF(FESTIVOS!$A:$A,$B16)&gt;0),0,$I$3*24)</f>
        <v>8</v>
      </c>
      <c r="J16" s="14">
        <f>IF(OR(WEEKDAY($B16,2)&gt;5,COUNTIF(FESTIVOS!$A:$A,$B16)&gt;0),"",G16-I16-H16)</f>
        <v>-8.5</v>
      </c>
      <c r="K16" s="14" t="str">
        <f>IF(OR(WEEKDAY($B16,2)&gt;5,COUNTIF(FESTIVOS!$A:$A,$B16)&gt;0),G16,"")</f>
        <v/>
      </c>
      <c r="L16" s="11"/>
    </row>
    <row r="17" spans="1:12" x14ac:dyDescent="0.3">
      <c r="A17" s="11" t="s">
        <v>18</v>
      </c>
      <c r="B17" s="12">
        <v>46338</v>
      </c>
      <c r="C17" s="13">
        <v>0</v>
      </c>
      <c r="D17" s="13">
        <v>0</v>
      </c>
      <c r="E17" s="13">
        <v>0</v>
      </c>
      <c r="F17" s="13">
        <v>0</v>
      </c>
      <c r="G17" s="14">
        <f t="shared" si="0"/>
        <v>0</v>
      </c>
      <c r="H17" s="14">
        <f>IF(OR(WEEKDAY($B17,2)&gt;5,COUNTIF(FESTIVOS!$A:$A,$B17)&gt;0),0,$H$3*24)</f>
        <v>0.49999999999999989</v>
      </c>
      <c r="I17" s="14">
        <f>IF(OR(WEEKDAY($B17,2)&gt;5,COUNTIF(FESTIVOS!$A:$A,$B17)&gt;0),0,$I$3*24)</f>
        <v>8</v>
      </c>
      <c r="J17" s="14">
        <f>IF(OR(WEEKDAY($B17,2)&gt;5,COUNTIF(FESTIVOS!$A:$A,$B17)&gt;0),"",G17-I17-H17)</f>
        <v>-8.5</v>
      </c>
      <c r="K17" s="14" t="str">
        <f>IF(OR(WEEKDAY($B17,2)&gt;5,COUNTIF(FESTIVOS!$A:$A,$B17)&gt;0),G17,"")</f>
        <v/>
      </c>
      <c r="L17" s="11"/>
    </row>
    <row r="18" spans="1:12" x14ac:dyDescent="0.3">
      <c r="A18" s="11" t="s">
        <v>19</v>
      </c>
      <c r="B18" s="12">
        <v>46339</v>
      </c>
      <c r="C18" s="13">
        <v>0</v>
      </c>
      <c r="D18" s="13">
        <v>0</v>
      </c>
      <c r="E18" s="13">
        <v>0</v>
      </c>
      <c r="F18" s="13">
        <v>0</v>
      </c>
      <c r="G18" s="14">
        <f t="shared" si="0"/>
        <v>0</v>
      </c>
      <c r="H18" s="14">
        <f>IF(OR(WEEKDAY($B18,2)&gt;5,COUNTIF(FESTIVOS!$A:$A,$B18)&gt;0),0,$H$3*24)</f>
        <v>0.49999999999999989</v>
      </c>
      <c r="I18" s="14">
        <f>IF(OR(WEEKDAY($B18,2)&gt;5,COUNTIF(FESTIVOS!$A:$A,$B18)&gt;0),0,$I$3*24)</f>
        <v>8</v>
      </c>
      <c r="J18" s="14">
        <f>IF(OR(WEEKDAY($B18,2)&gt;5,COUNTIF(FESTIVOS!$A:$A,$B18)&gt;0),"",G18-I18-H18)</f>
        <v>-8.5</v>
      </c>
      <c r="K18" s="14" t="str">
        <f>IF(OR(WEEKDAY($B18,2)&gt;5,COUNTIF(FESTIVOS!$A:$A,$B18)&gt;0),G18,"")</f>
        <v/>
      </c>
      <c r="L18" s="11"/>
    </row>
    <row r="19" spans="1:12" x14ac:dyDescent="0.3">
      <c r="A19" s="15" t="s">
        <v>20</v>
      </c>
      <c r="B19" s="16">
        <v>46340</v>
      </c>
      <c r="C19" s="17">
        <v>0</v>
      </c>
      <c r="D19" s="17">
        <v>0</v>
      </c>
      <c r="E19" s="17">
        <v>0</v>
      </c>
      <c r="F19" s="17">
        <v>0</v>
      </c>
      <c r="G19" s="18">
        <f t="shared" si="0"/>
        <v>0</v>
      </c>
      <c r="H19" s="18">
        <f>IF(OR(WEEKDAY($B19,2)&gt;5,COUNTIF(FESTIVOS!$A:$A,$B19)&gt;0),0,$H$3*24)</f>
        <v>0</v>
      </c>
      <c r="I19" s="18">
        <f>IF(OR(WEEKDAY($B19,2)&gt;5,COUNTIF(FESTIVOS!$A:$A,$B19)&gt;0),0,$I$3*24)</f>
        <v>0</v>
      </c>
      <c r="J19" s="18" t="str">
        <f>IF(OR(WEEKDAY($B19,2)&gt;5,COUNTIF(FESTIVOS!$A:$A,$B19)&gt;0),"",G19-I19-H19)</f>
        <v/>
      </c>
      <c r="K19" s="18">
        <f>IF(OR(WEEKDAY($B19,2)&gt;5,COUNTIF(FESTIVOS!$A:$A,$B19)&gt;0),G19,"")</f>
        <v>0</v>
      </c>
      <c r="L19" s="15"/>
    </row>
    <row r="20" spans="1:12" x14ac:dyDescent="0.3">
      <c r="A20" s="15" t="s">
        <v>21</v>
      </c>
      <c r="B20" s="16">
        <v>46341</v>
      </c>
      <c r="C20" s="17">
        <v>0</v>
      </c>
      <c r="D20" s="17">
        <v>0</v>
      </c>
      <c r="E20" s="17">
        <v>0</v>
      </c>
      <c r="F20" s="17">
        <v>0</v>
      </c>
      <c r="G20" s="18">
        <f t="shared" si="0"/>
        <v>0</v>
      </c>
      <c r="H20" s="18">
        <f>IF(OR(WEEKDAY($B20,2)&gt;5,COUNTIF(FESTIVOS!$A:$A,$B20)&gt;0),0,$H$3*24)</f>
        <v>0</v>
      </c>
      <c r="I20" s="18">
        <f>IF(OR(WEEKDAY($B20,2)&gt;5,COUNTIF(FESTIVOS!$A:$A,$B20)&gt;0),0,$I$3*24)</f>
        <v>0</v>
      </c>
      <c r="J20" s="18" t="str">
        <f>IF(OR(WEEKDAY($B20,2)&gt;5,COUNTIF(FESTIVOS!$A:$A,$B20)&gt;0),"",G20-I20-H20)</f>
        <v/>
      </c>
      <c r="K20" s="18">
        <f>IF(OR(WEEKDAY($B20,2)&gt;5,COUNTIF(FESTIVOS!$A:$A,$B20)&gt;0),G20,"")</f>
        <v>0</v>
      </c>
      <c r="L20" s="15"/>
    </row>
    <row r="21" spans="1:12" x14ac:dyDescent="0.3">
      <c r="A21" s="11" t="s">
        <v>15</v>
      </c>
      <c r="B21" s="12">
        <v>46342</v>
      </c>
      <c r="C21" s="13">
        <v>0</v>
      </c>
      <c r="D21" s="13">
        <v>0</v>
      </c>
      <c r="E21" s="13">
        <v>0</v>
      </c>
      <c r="F21" s="13">
        <v>0</v>
      </c>
      <c r="G21" s="14">
        <f t="shared" si="0"/>
        <v>0</v>
      </c>
      <c r="H21" s="14">
        <f>IF(OR(WEEKDAY($B21,2)&gt;5,COUNTIF(FESTIVOS!$A:$A,$B21)&gt;0),0,$H$3*24)</f>
        <v>0.49999999999999989</v>
      </c>
      <c r="I21" s="14">
        <f>IF(OR(WEEKDAY($B21,2)&gt;5,COUNTIF(FESTIVOS!$A:$A,$B21)&gt;0),0,$I$3*24)</f>
        <v>8</v>
      </c>
      <c r="J21" s="14">
        <f>IF(OR(WEEKDAY($B21,2)&gt;5,COUNTIF(FESTIVOS!$A:$A,$B21)&gt;0),"",G21-I21-H21)</f>
        <v>-8.5</v>
      </c>
      <c r="K21" s="14" t="str">
        <f>IF(OR(WEEKDAY($B21,2)&gt;5,COUNTIF(FESTIVOS!$A:$A,$B21)&gt;0),G21,"")</f>
        <v/>
      </c>
      <c r="L21" s="11"/>
    </row>
    <row r="22" spans="1:12" x14ac:dyDescent="0.3">
      <c r="A22" s="11" t="s">
        <v>16</v>
      </c>
      <c r="B22" s="12">
        <v>46343</v>
      </c>
      <c r="C22" s="13">
        <v>0</v>
      </c>
      <c r="D22" s="13">
        <v>0</v>
      </c>
      <c r="E22" s="13">
        <v>0</v>
      </c>
      <c r="F22" s="13">
        <v>0</v>
      </c>
      <c r="G22" s="14">
        <f t="shared" si="0"/>
        <v>0</v>
      </c>
      <c r="H22" s="14">
        <f>IF(OR(WEEKDAY($B22,2)&gt;5,COUNTIF(FESTIVOS!$A:$A,$B22)&gt;0),0,$H$3*24)</f>
        <v>0.49999999999999989</v>
      </c>
      <c r="I22" s="14">
        <f>IF(OR(WEEKDAY($B22,2)&gt;5,COUNTIF(FESTIVOS!$A:$A,$B22)&gt;0),0,$I$3*24)</f>
        <v>8</v>
      </c>
      <c r="J22" s="14">
        <f>IF(OR(WEEKDAY($B22,2)&gt;5,COUNTIF(FESTIVOS!$A:$A,$B22)&gt;0),"",G22-I22-H22)</f>
        <v>-8.5</v>
      </c>
      <c r="K22" s="14" t="str">
        <f>IF(OR(WEEKDAY($B22,2)&gt;5,COUNTIF(FESTIVOS!$A:$A,$B22)&gt;0),G22,"")</f>
        <v/>
      </c>
      <c r="L22" s="11"/>
    </row>
    <row r="23" spans="1:12" x14ac:dyDescent="0.3">
      <c r="A23" s="11" t="s">
        <v>17</v>
      </c>
      <c r="B23" s="12">
        <v>46344</v>
      </c>
      <c r="C23" s="13">
        <v>0</v>
      </c>
      <c r="D23" s="13">
        <v>0</v>
      </c>
      <c r="E23" s="13">
        <v>0</v>
      </c>
      <c r="F23" s="13">
        <v>0</v>
      </c>
      <c r="G23" s="14">
        <f t="shared" si="0"/>
        <v>0</v>
      </c>
      <c r="H23" s="14">
        <f>IF(OR(WEEKDAY($B23,2)&gt;5,COUNTIF(FESTIVOS!$A:$A,$B23)&gt;0),0,$H$3*24)</f>
        <v>0.49999999999999989</v>
      </c>
      <c r="I23" s="14">
        <f>IF(OR(WEEKDAY($B23,2)&gt;5,COUNTIF(FESTIVOS!$A:$A,$B23)&gt;0),0,$I$3*24)</f>
        <v>8</v>
      </c>
      <c r="J23" s="14">
        <f>IF(OR(WEEKDAY($B23,2)&gt;5,COUNTIF(FESTIVOS!$A:$A,$B23)&gt;0),"",G23-I23-H23)</f>
        <v>-8.5</v>
      </c>
      <c r="K23" s="14" t="str">
        <f>IF(OR(WEEKDAY($B23,2)&gt;5,COUNTIF(FESTIVOS!$A:$A,$B23)&gt;0),G23,"")</f>
        <v/>
      </c>
      <c r="L23" s="11"/>
    </row>
    <row r="24" spans="1:12" x14ac:dyDescent="0.3">
      <c r="A24" s="11" t="s">
        <v>18</v>
      </c>
      <c r="B24" s="12">
        <v>46345</v>
      </c>
      <c r="C24" s="13">
        <v>0</v>
      </c>
      <c r="D24" s="13">
        <v>0</v>
      </c>
      <c r="E24" s="13">
        <v>0</v>
      </c>
      <c r="F24" s="13">
        <v>0</v>
      </c>
      <c r="G24" s="14">
        <f t="shared" si="0"/>
        <v>0</v>
      </c>
      <c r="H24" s="14">
        <f>IF(OR(WEEKDAY($B24,2)&gt;5,COUNTIF(FESTIVOS!$A:$A,$B24)&gt;0),0,$H$3*24)</f>
        <v>0.49999999999999989</v>
      </c>
      <c r="I24" s="14">
        <f>IF(OR(WEEKDAY($B24,2)&gt;5,COUNTIF(FESTIVOS!$A:$A,$B24)&gt;0),0,$I$3*24)</f>
        <v>8</v>
      </c>
      <c r="J24" s="14">
        <f>IF(OR(WEEKDAY($B24,2)&gt;5,COUNTIF(FESTIVOS!$A:$A,$B24)&gt;0),"",G24-I24-H24)</f>
        <v>-8.5</v>
      </c>
      <c r="K24" s="14" t="str">
        <f>IF(OR(WEEKDAY($B24,2)&gt;5,COUNTIF(FESTIVOS!$A:$A,$B24)&gt;0),G24,"")</f>
        <v/>
      </c>
      <c r="L24" s="11"/>
    </row>
    <row r="25" spans="1:12" x14ac:dyDescent="0.3">
      <c r="A25" s="11" t="s">
        <v>19</v>
      </c>
      <c r="B25" s="12">
        <v>46346</v>
      </c>
      <c r="C25" s="13">
        <v>0</v>
      </c>
      <c r="D25" s="13">
        <v>0</v>
      </c>
      <c r="E25" s="13">
        <v>0</v>
      </c>
      <c r="F25" s="13">
        <v>0</v>
      </c>
      <c r="G25" s="14">
        <f t="shared" si="0"/>
        <v>0</v>
      </c>
      <c r="H25" s="14">
        <f>IF(OR(WEEKDAY($B25,2)&gt;5,COUNTIF(FESTIVOS!$A:$A,$B25)&gt;0),0,$H$3*24)</f>
        <v>0.49999999999999989</v>
      </c>
      <c r="I25" s="14">
        <f>IF(OR(WEEKDAY($B25,2)&gt;5,COUNTIF(FESTIVOS!$A:$A,$B25)&gt;0),0,$I$3*24)</f>
        <v>8</v>
      </c>
      <c r="J25" s="14">
        <f>IF(OR(WEEKDAY($B25,2)&gt;5,COUNTIF(FESTIVOS!$A:$A,$B25)&gt;0),"",G25-I25-H25)</f>
        <v>-8.5</v>
      </c>
      <c r="K25" s="14" t="str">
        <f>IF(OR(WEEKDAY($B25,2)&gt;5,COUNTIF(FESTIVOS!$A:$A,$B25)&gt;0),G25,"")</f>
        <v/>
      </c>
      <c r="L25" s="11"/>
    </row>
    <row r="26" spans="1:12" x14ac:dyDescent="0.3">
      <c r="A26" s="15" t="s">
        <v>20</v>
      </c>
      <c r="B26" s="16">
        <v>46347</v>
      </c>
      <c r="C26" s="17">
        <v>0</v>
      </c>
      <c r="D26" s="17">
        <v>0</v>
      </c>
      <c r="E26" s="17">
        <v>0</v>
      </c>
      <c r="F26" s="17">
        <v>0</v>
      </c>
      <c r="G26" s="18">
        <f t="shared" si="0"/>
        <v>0</v>
      </c>
      <c r="H26" s="18">
        <f>IF(OR(WEEKDAY($B26,2)&gt;5,COUNTIF(FESTIVOS!$A:$A,$B26)&gt;0),0,$H$3*24)</f>
        <v>0</v>
      </c>
      <c r="I26" s="18">
        <f>IF(OR(WEEKDAY($B26,2)&gt;5,COUNTIF(FESTIVOS!$A:$A,$B26)&gt;0),0,$I$3*24)</f>
        <v>0</v>
      </c>
      <c r="J26" s="18" t="str">
        <f>IF(OR(WEEKDAY($B26,2)&gt;5,COUNTIF(FESTIVOS!$A:$A,$B26)&gt;0),"",G26-I26-H26)</f>
        <v/>
      </c>
      <c r="K26" s="18">
        <f>IF(OR(WEEKDAY($B26,2)&gt;5,COUNTIF(FESTIVOS!$A:$A,$B26)&gt;0),G26,"")</f>
        <v>0</v>
      </c>
      <c r="L26" s="15"/>
    </row>
    <row r="27" spans="1:12" x14ac:dyDescent="0.3">
      <c r="A27" s="15" t="s">
        <v>21</v>
      </c>
      <c r="B27" s="16">
        <v>46348</v>
      </c>
      <c r="C27" s="17">
        <v>0</v>
      </c>
      <c r="D27" s="17">
        <v>0</v>
      </c>
      <c r="E27" s="17">
        <v>0</v>
      </c>
      <c r="F27" s="17">
        <v>0</v>
      </c>
      <c r="G27" s="18">
        <f t="shared" si="0"/>
        <v>0</v>
      </c>
      <c r="H27" s="18">
        <f>IF(OR(WEEKDAY($B27,2)&gt;5,COUNTIF(FESTIVOS!$A:$A,$B27)&gt;0),0,$H$3*24)</f>
        <v>0</v>
      </c>
      <c r="I27" s="18">
        <f>IF(OR(WEEKDAY($B27,2)&gt;5,COUNTIF(FESTIVOS!$A:$A,$B27)&gt;0),0,$I$3*24)</f>
        <v>0</v>
      </c>
      <c r="J27" s="18" t="str">
        <f>IF(OR(WEEKDAY($B27,2)&gt;5,COUNTIF(FESTIVOS!$A:$A,$B27)&gt;0),"",G27-I27-H27)</f>
        <v/>
      </c>
      <c r="K27" s="18">
        <f>IF(OR(WEEKDAY($B27,2)&gt;5,COUNTIF(FESTIVOS!$A:$A,$B27)&gt;0),G27,"")</f>
        <v>0</v>
      </c>
      <c r="L27" s="15"/>
    </row>
    <row r="28" spans="1:12" x14ac:dyDescent="0.3">
      <c r="A28" s="11" t="s">
        <v>15</v>
      </c>
      <c r="B28" s="12">
        <v>46349</v>
      </c>
      <c r="C28" s="13">
        <v>0</v>
      </c>
      <c r="D28" s="13">
        <v>0</v>
      </c>
      <c r="E28" s="13">
        <v>0</v>
      </c>
      <c r="F28" s="13">
        <v>0</v>
      </c>
      <c r="G28" s="14">
        <f t="shared" si="0"/>
        <v>0</v>
      </c>
      <c r="H28" s="14">
        <f>IF(OR(WEEKDAY($B28,2)&gt;5,COUNTIF(FESTIVOS!$A:$A,$B28)&gt;0),0,$H$3*24)</f>
        <v>0.49999999999999989</v>
      </c>
      <c r="I28" s="14">
        <f>IF(OR(WEEKDAY($B28,2)&gt;5,COUNTIF(FESTIVOS!$A:$A,$B28)&gt;0),0,$I$3*24)</f>
        <v>8</v>
      </c>
      <c r="J28" s="14">
        <f>IF(OR(WEEKDAY($B28,2)&gt;5,COUNTIF(FESTIVOS!$A:$A,$B28)&gt;0),"",G28-I28-H28)</f>
        <v>-8.5</v>
      </c>
      <c r="K28" s="14" t="str">
        <f>IF(OR(WEEKDAY($B28,2)&gt;5,COUNTIF(FESTIVOS!$A:$A,$B28)&gt;0),G28,"")</f>
        <v/>
      </c>
      <c r="L28" s="11"/>
    </row>
    <row r="29" spans="1:12" x14ac:dyDescent="0.3">
      <c r="A29" s="11" t="s">
        <v>16</v>
      </c>
      <c r="B29" s="12">
        <v>46350</v>
      </c>
      <c r="C29" s="13">
        <v>0</v>
      </c>
      <c r="D29" s="13">
        <v>0</v>
      </c>
      <c r="E29" s="13">
        <v>0</v>
      </c>
      <c r="F29" s="13">
        <v>0</v>
      </c>
      <c r="G29" s="14">
        <f t="shared" si="0"/>
        <v>0</v>
      </c>
      <c r="H29" s="14">
        <f>IF(OR(WEEKDAY($B29,2)&gt;5,COUNTIF(FESTIVOS!$A:$A,$B29)&gt;0),0,$H$3*24)</f>
        <v>0.49999999999999989</v>
      </c>
      <c r="I29" s="14">
        <f>IF(OR(WEEKDAY($B29,2)&gt;5,COUNTIF(FESTIVOS!$A:$A,$B29)&gt;0),0,$I$3*24)</f>
        <v>8</v>
      </c>
      <c r="J29" s="14">
        <f>IF(OR(WEEKDAY($B29,2)&gt;5,COUNTIF(FESTIVOS!$A:$A,$B29)&gt;0),"",G29-I29-H29)</f>
        <v>-8.5</v>
      </c>
      <c r="K29" s="14" t="str">
        <f>IF(OR(WEEKDAY($B29,2)&gt;5,COUNTIF(FESTIVOS!$A:$A,$B29)&gt;0),G29,"")</f>
        <v/>
      </c>
      <c r="L29" s="11"/>
    </row>
    <row r="30" spans="1:12" x14ac:dyDescent="0.3">
      <c r="A30" s="11" t="s">
        <v>17</v>
      </c>
      <c r="B30" s="12">
        <v>46351</v>
      </c>
      <c r="C30" s="13">
        <v>0</v>
      </c>
      <c r="D30" s="13">
        <v>0</v>
      </c>
      <c r="E30" s="13">
        <v>0</v>
      </c>
      <c r="F30" s="13">
        <v>0</v>
      </c>
      <c r="G30" s="14">
        <f t="shared" si="0"/>
        <v>0</v>
      </c>
      <c r="H30" s="14">
        <f>IF(OR(WEEKDAY($B30,2)&gt;5,COUNTIF(FESTIVOS!$A:$A,$B30)&gt;0),0,$H$3*24)</f>
        <v>0.49999999999999989</v>
      </c>
      <c r="I30" s="14">
        <f>IF(OR(WEEKDAY($B30,2)&gt;5,COUNTIF(FESTIVOS!$A:$A,$B30)&gt;0),0,$I$3*24)</f>
        <v>8</v>
      </c>
      <c r="J30" s="14">
        <f>IF(OR(WEEKDAY($B30,2)&gt;5,COUNTIF(FESTIVOS!$A:$A,$B30)&gt;0),"",G30-I30-H30)</f>
        <v>-8.5</v>
      </c>
      <c r="K30" s="14" t="str">
        <f>IF(OR(WEEKDAY($B30,2)&gt;5,COUNTIF(FESTIVOS!$A:$A,$B30)&gt;0),G30,"")</f>
        <v/>
      </c>
      <c r="L30" s="11"/>
    </row>
    <row r="31" spans="1:12" x14ac:dyDescent="0.3">
      <c r="A31" s="11" t="s">
        <v>18</v>
      </c>
      <c r="B31" s="12">
        <v>46352</v>
      </c>
      <c r="C31" s="13">
        <v>0</v>
      </c>
      <c r="D31" s="13">
        <v>0</v>
      </c>
      <c r="E31" s="13">
        <v>0</v>
      </c>
      <c r="F31" s="13">
        <v>0</v>
      </c>
      <c r="G31" s="14">
        <f t="shared" si="0"/>
        <v>0</v>
      </c>
      <c r="H31" s="14">
        <f>IF(OR(WEEKDAY($B31,2)&gt;5,COUNTIF(FESTIVOS!$A:$A,$B31)&gt;0),0,$H$3*24)</f>
        <v>0.49999999999999989</v>
      </c>
      <c r="I31" s="14">
        <f>IF(OR(WEEKDAY($B31,2)&gt;5,COUNTIF(FESTIVOS!$A:$A,$B31)&gt;0),0,$I$3*24)</f>
        <v>8</v>
      </c>
      <c r="J31" s="14">
        <f>IF(OR(WEEKDAY($B31,2)&gt;5,COUNTIF(FESTIVOS!$A:$A,$B31)&gt;0),"",G31-I31-H31)</f>
        <v>-8.5</v>
      </c>
      <c r="K31" s="14" t="str">
        <f>IF(OR(WEEKDAY($B31,2)&gt;5,COUNTIF(FESTIVOS!$A:$A,$B31)&gt;0),G31,"")</f>
        <v/>
      </c>
      <c r="L31" s="11"/>
    </row>
    <row r="32" spans="1:12" x14ac:dyDescent="0.3">
      <c r="A32" s="11" t="s">
        <v>19</v>
      </c>
      <c r="B32" s="12">
        <v>46353</v>
      </c>
      <c r="C32" s="13">
        <v>0</v>
      </c>
      <c r="D32" s="13">
        <v>0</v>
      </c>
      <c r="E32" s="13">
        <v>0</v>
      </c>
      <c r="F32" s="13">
        <v>0</v>
      </c>
      <c r="G32" s="14">
        <f t="shared" si="0"/>
        <v>0</v>
      </c>
      <c r="H32" s="14">
        <f>IF(OR(WEEKDAY($B32,2)&gt;5,COUNTIF(FESTIVOS!$A:$A,$B32)&gt;0),0,$H$3*24)</f>
        <v>0.49999999999999989</v>
      </c>
      <c r="I32" s="14">
        <f>IF(OR(WEEKDAY($B32,2)&gt;5,COUNTIF(FESTIVOS!$A:$A,$B32)&gt;0),0,$I$3*24)</f>
        <v>8</v>
      </c>
      <c r="J32" s="14">
        <f>IF(OR(WEEKDAY($B32,2)&gt;5,COUNTIF(FESTIVOS!$A:$A,$B32)&gt;0),"",G32-I32-H32)</f>
        <v>-8.5</v>
      </c>
      <c r="K32" s="14" t="str">
        <f>IF(OR(WEEKDAY($B32,2)&gt;5,COUNTIF(FESTIVOS!$A:$A,$B32)&gt;0),G32,"")</f>
        <v/>
      </c>
      <c r="L32" s="11"/>
    </row>
    <row r="33" spans="1:12" x14ac:dyDescent="0.3">
      <c r="A33" s="15" t="s">
        <v>20</v>
      </c>
      <c r="B33" s="16">
        <v>46354</v>
      </c>
      <c r="C33" s="17">
        <v>0</v>
      </c>
      <c r="D33" s="17">
        <v>0</v>
      </c>
      <c r="E33" s="17">
        <v>0</v>
      </c>
      <c r="F33" s="17">
        <v>0</v>
      </c>
      <c r="G33" s="18">
        <f t="shared" si="0"/>
        <v>0</v>
      </c>
      <c r="H33" s="18">
        <f>IF(OR(WEEKDAY($B33,2)&gt;5,COUNTIF(FESTIVOS!$A:$A,$B33)&gt;0),0,$H$3*24)</f>
        <v>0</v>
      </c>
      <c r="I33" s="18">
        <f>IF(OR(WEEKDAY($B33,2)&gt;5,COUNTIF(FESTIVOS!$A:$A,$B33)&gt;0),0,$I$3*24)</f>
        <v>0</v>
      </c>
      <c r="J33" s="18" t="str">
        <f>IF(OR(WEEKDAY($B33,2)&gt;5,COUNTIF(FESTIVOS!$A:$A,$B33)&gt;0),"",G33-I33-H33)</f>
        <v/>
      </c>
      <c r="K33" s="18">
        <f>IF(OR(WEEKDAY($B33,2)&gt;5,COUNTIF(FESTIVOS!$A:$A,$B33)&gt;0),G33,"")</f>
        <v>0</v>
      </c>
      <c r="L33" s="15"/>
    </row>
    <row r="34" spans="1:12" x14ac:dyDescent="0.3">
      <c r="A34" s="15" t="s">
        <v>21</v>
      </c>
      <c r="B34" s="16">
        <v>46355</v>
      </c>
      <c r="C34" s="17">
        <v>0</v>
      </c>
      <c r="D34" s="17">
        <v>0</v>
      </c>
      <c r="E34" s="17">
        <v>0</v>
      </c>
      <c r="F34" s="17">
        <v>0</v>
      </c>
      <c r="G34" s="18">
        <f t="shared" si="0"/>
        <v>0</v>
      </c>
      <c r="H34" s="18">
        <f>IF(OR(WEEKDAY($B34,2)&gt;5,COUNTIF(FESTIVOS!$A:$A,$B34)&gt;0),0,$H$3*24)</f>
        <v>0</v>
      </c>
      <c r="I34" s="18">
        <f>IF(OR(WEEKDAY($B34,2)&gt;5,COUNTIF(FESTIVOS!$A:$A,$B34)&gt;0),0,$I$3*24)</f>
        <v>0</v>
      </c>
      <c r="J34" s="18" t="str">
        <f>IF(OR(WEEKDAY($B34,2)&gt;5,COUNTIF(FESTIVOS!$A:$A,$B34)&gt;0),"",G34-I34-H34)</f>
        <v/>
      </c>
      <c r="K34" s="18">
        <f>IF(OR(WEEKDAY($B34,2)&gt;5,COUNTIF(FESTIVOS!$A:$A,$B34)&gt;0),G34,"")</f>
        <v>0</v>
      </c>
      <c r="L34" s="15"/>
    </row>
    <row r="35" spans="1:12" x14ac:dyDescent="0.3">
      <c r="A35" s="11" t="s">
        <v>15</v>
      </c>
      <c r="B35" s="12">
        <v>46356</v>
      </c>
      <c r="C35" s="13">
        <v>0</v>
      </c>
      <c r="D35" s="13">
        <v>0</v>
      </c>
      <c r="E35" s="13">
        <v>0</v>
      </c>
      <c r="F35" s="13">
        <v>0</v>
      </c>
      <c r="G35" s="14">
        <f t="shared" si="0"/>
        <v>0</v>
      </c>
      <c r="H35" s="14">
        <f>IF(OR(WEEKDAY($B35,2)&gt;5,COUNTIF(FESTIVOS!$A:$A,$B35)&gt;0),0,$H$3*24)</f>
        <v>0.49999999999999989</v>
      </c>
      <c r="I35" s="14">
        <f>IF(OR(WEEKDAY($B35,2)&gt;5,COUNTIF(FESTIVOS!$A:$A,$B35)&gt;0),0,$I$3*24)</f>
        <v>8</v>
      </c>
      <c r="J35" s="14">
        <f>IF(OR(WEEKDAY($B35,2)&gt;5,COUNTIF(FESTIVOS!$A:$A,$B35)&gt;0),"",G35-I35-H35)</f>
        <v>-8.5</v>
      </c>
      <c r="K35" s="14" t="str">
        <f>IF(OR(WEEKDAY($B35,2)&gt;5,COUNTIF(FESTIVOS!$A:$A,$B35)&gt;0),G35,"")</f>
        <v/>
      </c>
      <c r="L35" s="11"/>
    </row>
  </sheetData>
  <mergeCells count="1">
    <mergeCell ref="C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6"/>
  <sheetViews>
    <sheetView workbookViewId="0">
      <selection activeCell="H10" sqref="H10"/>
    </sheetView>
  </sheetViews>
  <sheetFormatPr baseColWidth="10" defaultColWidth="9.140625" defaultRowHeight="16.5" x14ac:dyDescent="0.3"/>
  <cols>
    <col min="1" max="1" width="4.7109375" style="2" bestFit="1" customWidth="1"/>
    <col min="2" max="2" width="13.5703125" style="2" bestFit="1" customWidth="1"/>
    <col min="3" max="3" width="11.85546875" style="2" bestFit="1" customWidth="1"/>
    <col min="4" max="4" width="9.7109375" style="2" bestFit="1" customWidth="1"/>
    <col min="5" max="5" width="11.85546875" style="2" bestFit="1" customWidth="1"/>
    <col min="6" max="6" width="11.42578125" style="2" bestFit="1" customWidth="1"/>
    <col min="7" max="7" width="9.7109375" style="2" bestFit="1" customWidth="1"/>
    <col min="8" max="8" width="14.7109375" style="2" bestFit="1" customWidth="1"/>
    <col min="9" max="9" width="8" style="2" customWidth="1"/>
    <col min="10" max="10" width="9.28515625" style="2" bestFit="1" customWidth="1"/>
    <col min="11" max="11" width="17.5703125" style="2" bestFit="1" customWidth="1"/>
    <col min="12" max="12" width="20.140625" style="2" bestFit="1" customWidth="1"/>
    <col min="13" max="13" width="9.140625" style="2"/>
    <col min="14" max="14" width="11.5703125" style="2" bestFit="1" customWidth="1"/>
    <col min="15" max="15" width="22.85546875" style="2" bestFit="1" customWidth="1"/>
    <col min="16" max="16" width="11.5703125" style="2" bestFit="1" customWidth="1"/>
    <col min="17" max="16384" width="9.140625" style="2"/>
  </cols>
  <sheetData>
    <row r="1" spans="1:16" ht="18" x14ac:dyDescent="0.35">
      <c r="N1" s="3">
        <v>9</v>
      </c>
      <c r="O1" s="3">
        <v>10</v>
      </c>
    </row>
    <row r="2" spans="1:16" ht="18" x14ac:dyDescent="0.35">
      <c r="C2" s="4" t="s">
        <v>0</v>
      </c>
      <c r="D2" s="5"/>
      <c r="F2" s="6" t="s">
        <v>1</v>
      </c>
      <c r="N2" s="6" t="s">
        <v>2</v>
      </c>
      <c r="O2" s="6" t="s">
        <v>3</v>
      </c>
    </row>
    <row r="3" spans="1:16" ht="18" x14ac:dyDescent="0.35">
      <c r="F3" s="6" t="s">
        <v>4</v>
      </c>
      <c r="H3" s="7">
        <v>2.0833333333333329E-2</v>
      </c>
      <c r="I3" s="7">
        <v>0.33333333333333331</v>
      </c>
      <c r="N3" s="8" t="e">
        <f>SUMPRODUCT((J6:J36&gt;0)*(J6:J36))</f>
        <v>#VALUE!</v>
      </c>
      <c r="O3" s="8">
        <f>SUM(K6:K36)</f>
        <v>0</v>
      </c>
    </row>
    <row r="4" spans="1:16" ht="18" x14ac:dyDescent="0.35">
      <c r="P4" s="6" t="s">
        <v>5</v>
      </c>
    </row>
    <row r="5" spans="1:16" ht="18" x14ac:dyDescent="0.35">
      <c r="A5" s="9" t="s">
        <v>6</v>
      </c>
      <c r="B5" s="9" t="s">
        <v>7</v>
      </c>
      <c r="C5" s="9" t="s">
        <v>8</v>
      </c>
      <c r="D5" s="9" t="s">
        <v>9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2</v>
      </c>
      <c r="K5" s="9" t="s">
        <v>13</v>
      </c>
      <c r="L5" s="9" t="s">
        <v>14</v>
      </c>
      <c r="N5" s="10" t="e">
        <f>N3*N1</f>
        <v>#VALUE!</v>
      </c>
      <c r="O5" s="10">
        <f>O3*O1</f>
        <v>0</v>
      </c>
      <c r="P5" s="10" t="e">
        <f>N5+O5</f>
        <v>#VALUE!</v>
      </c>
    </row>
    <row r="6" spans="1:16" x14ac:dyDescent="0.3">
      <c r="A6" s="11" t="s">
        <v>16</v>
      </c>
      <c r="B6" s="12">
        <v>46357</v>
      </c>
      <c r="C6" s="13">
        <v>0</v>
      </c>
      <c r="D6" s="13">
        <v>0</v>
      </c>
      <c r="E6" s="13">
        <v>0</v>
      </c>
      <c r="F6" s="13">
        <v>0</v>
      </c>
      <c r="G6" s="14">
        <f t="shared" ref="G6:G36" si="0">IF(AND(C6="",D6="",E6="",F6=""),0,(F6-E6+D6-C6)*24)</f>
        <v>0</v>
      </c>
      <c r="H6" s="14">
        <f>IF(OR(WEEKDAY($B6,2)&gt;5,COUNTIF(FESTIVOS!$A:$A,$B6)&gt;0),0,$H$3*24)</f>
        <v>0.49999999999999989</v>
      </c>
      <c r="I6" s="14">
        <f>IF(OR(WEEKDAY($B6,2)&gt;5,COUNTIF(FESTIVOS!$A:$A,$B6)&gt;0),0,$I$3*24)</f>
        <v>8</v>
      </c>
      <c r="J6" s="14">
        <f>IF(OR(WEEKDAY($B6,2)&gt;5,COUNTIF(FESTIVOS!$A:$A,$B6)&gt;0),"",G6-I6-H6)</f>
        <v>-8.5</v>
      </c>
      <c r="K6" s="14" t="str">
        <f>IF(OR(WEEKDAY($B6,2)&gt;5,COUNTIF(FESTIVOS!$A:$A,$B6)&gt;0),G6,"")</f>
        <v/>
      </c>
      <c r="L6" s="11"/>
    </row>
    <row r="7" spans="1:16" x14ac:dyDescent="0.3">
      <c r="A7" s="11" t="s">
        <v>17</v>
      </c>
      <c r="B7" s="12">
        <v>46358</v>
      </c>
      <c r="C7" s="13">
        <v>0</v>
      </c>
      <c r="D7" s="13">
        <v>0</v>
      </c>
      <c r="E7" s="13">
        <v>0</v>
      </c>
      <c r="F7" s="13">
        <v>0</v>
      </c>
      <c r="G7" s="14">
        <f t="shared" si="0"/>
        <v>0</v>
      </c>
      <c r="H7" s="14">
        <f>IF(OR(WEEKDAY($B7,2)&gt;5,COUNTIF(FESTIVOS!$A:$A,$B7)&gt;0),0,$H$3*24)</f>
        <v>0.49999999999999989</v>
      </c>
      <c r="I7" s="14">
        <f>IF(OR(WEEKDAY($B7,2)&gt;5,COUNTIF(FESTIVOS!$A:$A,$B7)&gt;0),0,$I$3*24)</f>
        <v>8</v>
      </c>
      <c r="J7" s="14">
        <f>IF(OR(WEEKDAY($B7,2)&gt;5,COUNTIF(FESTIVOS!$A:$A,$B7)&gt;0),"",G7-I7-H7)</f>
        <v>-8.5</v>
      </c>
      <c r="K7" s="14" t="str">
        <f>IF(OR(WEEKDAY($B7,2)&gt;5,COUNTIF(FESTIVOS!$A:$A,$B7)&gt;0),G7,"")</f>
        <v/>
      </c>
      <c r="L7" s="11"/>
    </row>
    <row r="8" spans="1:16" x14ac:dyDescent="0.3">
      <c r="A8" s="11" t="s">
        <v>18</v>
      </c>
      <c r="B8" s="12">
        <v>46359</v>
      </c>
      <c r="C8" s="13">
        <v>0</v>
      </c>
      <c r="D8" s="13">
        <v>0</v>
      </c>
      <c r="E8" s="13">
        <v>0</v>
      </c>
      <c r="F8" s="13">
        <v>0</v>
      </c>
      <c r="G8" s="14">
        <f t="shared" si="0"/>
        <v>0</v>
      </c>
      <c r="H8" s="14">
        <f>IF(OR(WEEKDAY($B8,2)&gt;5,COUNTIF(FESTIVOS!$A:$A,$B8)&gt;0),0,$H$3*24)</f>
        <v>0.49999999999999989</v>
      </c>
      <c r="I8" s="14">
        <f>IF(OR(WEEKDAY($B8,2)&gt;5,COUNTIF(FESTIVOS!$A:$A,$B8)&gt;0),0,$I$3*24)</f>
        <v>8</v>
      </c>
      <c r="J8" s="14">
        <f>IF(OR(WEEKDAY($B8,2)&gt;5,COUNTIF(FESTIVOS!$A:$A,$B8)&gt;0),"",G8-I8-H8)</f>
        <v>-8.5</v>
      </c>
      <c r="K8" s="14" t="str">
        <f>IF(OR(WEEKDAY($B8,2)&gt;5,COUNTIF(FESTIVOS!$A:$A,$B8)&gt;0),G8,"")</f>
        <v/>
      </c>
      <c r="L8" s="11"/>
    </row>
    <row r="9" spans="1:16" x14ac:dyDescent="0.3">
      <c r="A9" s="11" t="s">
        <v>19</v>
      </c>
      <c r="B9" s="12">
        <v>46360</v>
      </c>
      <c r="C9" s="13">
        <v>0</v>
      </c>
      <c r="D9" s="13">
        <v>0</v>
      </c>
      <c r="E9" s="13">
        <v>0</v>
      </c>
      <c r="F9" s="13">
        <v>0</v>
      </c>
      <c r="G9" s="14">
        <f t="shared" si="0"/>
        <v>0</v>
      </c>
      <c r="H9" s="14">
        <f>IF(OR(WEEKDAY($B9,2)&gt;5,COUNTIF(FESTIVOS!$A:$A,$B9)&gt;0),0,$H$3*24)</f>
        <v>0.49999999999999989</v>
      </c>
      <c r="I9" s="14">
        <f>IF(OR(WEEKDAY($B9,2)&gt;5,COUNTIF(FESTIVOS!$A:$A,$B9)&gt;0),0,$I$3*24)</f>
        <v>8</v>
      </c>
      <c r="J9" s="14">
        <f>IF(OR(WEEKDAY($B9,2)&gt;5,COUNTIF(FESTIVOS!$A:$A,$B9)&gt;0),"",G9-I9-H9)</f>
        <v>-8.5</v>
      </c>
      <c r="K9" s="14" t="str">
        <f>IF(OR(WEEKDAY($B9,2)&gt;5,COUNTIF(FESTIVOS!$A:$A,$B9)&gt;0),G9,"")</f>
        <v/>
      </c>
      <c r="L9" s="11"/>
    </row>
    <row r="10" spans="1:16" x14ac:dyDescent="0.3">
      <c r="A10" s="15" t="s">
        <v>20</v>
      </c>
      <c r="B10" s="16">
        <v>46361</v>
      </c>
      <c r="C10" s="17">
        <v>0</v>
      </c>
      <c r="D10" s="17">
        <v>0</v>
      </c>
      <c r="E10" s="17">
        <v>0</v>
      </c>
      <c r="F10" s="17">
        <v>0</v>
      </c>
      <c r="G10" s="18">
        <f t="shared" si="0"/>
        <v>0</v>
      </c>
      <c r="H10" s="18">
        <f>IF(OR(WEEKDAY($B10,2)&gt;5,COUNTIF(FESTIVOS!$A:$A,$B10)&gt;0),0,$H$3*24)</f>
        <v>0</v>
      </c>
      <c r="I10" s="18">
        <f>IF(OR(WEEKDAY($B10,2)&gt;5,COUNTIF(FESTIVOS!$A:$A,$B10)&gt;0),0,$I$3*24)</f>
        <v>0</v>
      </c>
      <c r="J10" s="18" t="str">
        <f>IF(OR(WEEKDAY($B10,2)&gt;5,COUNTIF(FESTIVOS!$A:$A,$B10)&gt;0),"",G10-I10-H10)</f>
        <v/>
      </c>
      <c r="K10" s="18">
        <f>IF(OR(WEEKDAY($B10,2)&gt;5,COUNTIF(FESTIVOS!$A:$A,$B10)&gt;0),G10,"")</f>
        <v>0</v>
      </c>
      <c r="L10" s="15"/>
    </row>
    <row r="11" spans="1:16" x14ac:dyDescent="0.3">
      <c r="A11" s="15" t="s">
        <v>21</v>
      </c>
      <c r="B11" s="16">
        <v>46362</v>
      </c>
      <c r="C11" s="17">
        <v>0</v>
      </c>
      <c r="D11" s="17">
        <v>0</v>
      </c>
      <c r="E11" s="17">
        <v>0</v>
      </c>
      <c r="F11" s="17">
        <v>0</v>
      </c>
      <c r="G11" s="18">
        <f t="shared" si="0"/>
        <v>0</v>
      </c>
      <c r="H11" s="18">
        <f>IF(OR(WEEKDAY($B11,2)&gt;5,COUNTIF(FESTIVOS!$A:$A,$B11)&gt;0),0,$H$3*24)</f>
        <v>0</v>
      </c>
      <c r="I11" s="18">
        <f>IF(OR(WEEKDAY($B11,2)&gt;5,COUNTIF(FESTIVOS!$A:$A,$B11)&gt;0),0,$I$3*24)</f>
        <v>0</v>
      </c>
      <c r="J11" s="18" t="str">
        <f>IF(OR(WEEKDAY($B11,2)&gt;5,COUNTIF(FESTIVOS!$A:$A,$B11)&gt;0),"",G11-I11-H11)</f>
        <v/>
      </c>
      <c r="K11" s="18">
        <f>IF(OR(WEEKDAY($B11,2)&gt;5,COUNTIF(FESTIVOS!$A:$A,$B11)&gt;0),G11,"")</f>
        <v>0</v>
      </c>
      <c r="L11" s="15"/>
    </row>
    <row r="12" spans="1:16" x14ac:dyDescent="0.3">
      <c r="A12" s="11" t="s">
        <v>15</v>
      </c>
      <c r="B12" s="12">
        <v>46363</v>
      </c>
      <c r="C12" s="13">
        <v>0</v>
      </c>
      <c r="D12" s="13">
        <v>0</v>
      </c>
      <c r="E12" s="13">
        <v>0</v>
      </c>
      <c r="F12" s="13">
        <v>0</v>
      </c>
      <c r="G12" s="14">
        <f t="shared" si="0"/>
        <v>0</v>
      </c>
      <c r="H12" s="14">
        <f>IF(OR(WEEKDAY($B12,2)&gt;5,COUNTIF(FESTIVOS!$A:$A,$B12)&gt;0),0,$H$3*24)</f>
        <v>0.49999999999999989</v>
      </c>
      <c r="I12" s="14">
        <f>IF(OR(WEEKDAY($B12,2)&gt;5,COUNTIF(FESTIVOS!$A:$A,$B12)&gt;0),0,$I$3*24)</f>
        <v>8</v>
      </c>
      <c r="J12" s="14">
        <f>IF(OR(WEEKDAY($B12,2)&gt;5,COUNTIF(FESTIVOS!$A:$A,$B12)&gt;0),"",G12-I12-H12)</f>
        <v>-8.5</v>
      </c>
      <c r="K12" s="14" t="str">
        <f>IF(OR(WEEKDAY($B12,2)&gt;5,COUNTIF(FESTIVOS!$A:$A,$B12)&gt;0),G12,"")</f>
        <v/>
      </c>
      <c r="L12" s="11"/>
    </row>
    <row r="13" spans="1:16" x14ac:dyDescent="0.3">
      <c r="A13" s="15" t="s">
        <v>16</v>
      </c>
      <c r="B13" s="16">
        <v>46364</v>
      </c>
      <c r="C13" s="17">
        <v>0</v>
      </c>
      <c r="D13" s="17">
        <v>0</v>
      </c>
      <c r="E13" s="17">
        <v>0</v>
      </c>
      <c r="F13" s="17">
        <v>0</v>
      </c>
      <c r="G13" s="18">
        <f t="shared" si="0"/>
        <v>0</v>
      </c>
      <c r="H13" s="18">
        <f>IF(OR(WEEKDAY($B13,2)&gt;5,COUNTIF(FESTIVOS!$A:$A,$B13)&gt;0),0,$H$3*24)</f>
        <v>0</v>
      </c>
      <c r="I13" s="18">
        <f>IF(OR(WEEKDAY($B13,2)&gt;5,COUNTIF(FESTIVOS!$A:$A,$B13)&gt;0),0,$I$3*24)</f>
        <v>0</v>
      </c>
      <c r="J13" s="18" t="str">
        <f>IF(OR(WEEKDAY($B13,2)&gt;5,COUNTIF(FESTIVOS!$A:$A,$B13)&gt;0),"",G13-I13-H13)</f>
        <v/>
      </c>
      <c r="K13" s="18">
        <f>IF(OR(WEEKDAY($B13,2)&gt;5,COUNTIF(FESTIVOS!$A:$A,$B13)&gt;0),G13,"")</f>
        <v>0</v>
      </c>
      <c r="L13" s="15"/>
    </row>
    <row r="14" spans="1:16" x14ac:dyDescent="0.3">
      <c r="A14" s="11" t="s">
        <v>17</v>
      </c>
      <c r="B14" s="12">
        <v>46365</v>
      </c>
      <c r="C14" s="13">
        <v>0</v>
      </c>
      <c r="D14" s="13">
        <v>0</v>
      </c>
      <c r="E14" s="13">
        <v>0</v>
      </c>
      <c r="F14" s="13">
        <v>0</v>
      </c>
      <c r="G14" s="14">
        <f t="shared" si="0"/>
        <v>0</v>
      </c>
      <c r="H14" s="14">
        <f>IF(OR(WEEKDAY($B14,2)&gt;5,COUNTIF(FESTIVOS!$A:$A,$B14)&gt;0),0,$H$3*24)</f>
        <v>0.49999999999999989</v>
      </c>
      <c r="I14" s="14">
        <f>IF(OR(WEEKDAY($B14,2)&gt;5,COUNTIF(FESTIVOS!$A:$A,$B14)&gt;0),0,$I$3*24)</f>
        <v>8</v>
      </c>
      <c r="J14" s="14">
        <f>IF(OR(WEEKDAY($B14,2)&gt;5,COUNTIF(FESTIVOS!$A:$A,$B14)&gt;0),"",G14-I14-H14)</f>
        <v>-8.5</v>
      </c>
      <c r="K14" s="14" t="str">
        <f>IF(OR(WEEKDAY($B14,2)&gt;5,COUNTIF(FESTIVOS!$A:$A,$B14)&gt;0),G14,"")</f>
        <v/>
      </c>
      <c r="L14" s="11"/>
    </row>
    <row r="15" spans="1:16" x14ac:dyDescent="0.3">
      <c r="A15" s="11" t="s">
        <v>18</v>
      </c>
      <c r="B15" s="12">
        <v>46366</v>
      </c>
      <c r="C15" s="13">
        <v>0</v>
      </c>
      <c r="D15" s="13">
        <v>0</v>
      </c>
      <c r="E15" s="13">
        <v>0</v>
      </c>
      <c r="F15" s="13">
        <v>0</v>
      </c>
      <c r="G15" s="14">
        <f t="shared" si="0"/>
        <v>0</v>
      </c>
      <c r="H15" s="14">
        <f>IF(OR(WEEKDAY($B15,2)&gt;5,COUNTIF(FESTIVOS!$A:$A,$B15)&gt;0),0,$H$3*24)</f>
        <v>0.49999999999999989</v>
      </c>
      <c r="I15" s="14">
        <f>IF(OR(WEEKDAY($B15,2)&gt;5,COUNTIF(FESTIVOS!$A:$A,$B15)&gt;0),0,$I$3*24)</f>
        <v>8</v>
      </c>
      <c r="J15" s="14">
        <f>IF(OR(WEEKDAY($B15,2)&gt;5,COUNTIF(FESTIVOS!$A:$A,$B15)&gt;0),"",G15-I15-H15)</f>
        <v>-8.5</v>
      </c>
      <c r="K15" s="14" t="str">
        <f>IF(OR(WEEKDAY($B15,2)&gt;5,COUNTIF(FESTIVOS!$A:$A,$B15)&gt;0),G15,"")</f>
        <v/>
      </c>
      <c r="L15" s="11"/>
    </row>
    <row r="16" spans="1:16" x14ac:dyDescent="0.3">
      <c r="A16" s="11" t="s">
        <v>19</v>
      </c>
      <c r="B16" s="12">
        <v>46367</v>
      </c>
      <c r="C16" s="13">
        <v>0</v>
      </c>
      <c r="D16" s="13">
        <v>0</v>
      </c>
      <c r="E16" s="13">
        <v>0</v>
      </c>
      <c r="F16" s="13">
        <v>0</v>
      </c>
      <c r="G16" s="14">
        <f t="shared" si="0"/>
        <v>0</v>
      </c>
      <c r="H16" s="14">
        <f>IF(OR(WEEKDAY($B16,2)&gt;5,COUNTIF(FESTIVOS!$A:$A,$B16)&gt;0),0,$H$3*24)</f>
        <v>0.49999999999999989</v>
      </c>
      <c r="I16" s="14">
        <f>IF(OR(WEEKDAY($B16,2)&gt;5,COUNTIF(FESTIVOS!$A:$A,$B16)&gt;0),0,$I$3*24)</f>
        <v>8</v>
      </c>
      <c r="J16" s="14">
        <f>IF(OR(WEEKDAY($B16,2)&gt;5,COUNTIF(FESTIVOS!$A:$A,$B16)&gt;0),"",G16-I16-H16)</f>
        <v>-8.5</v>
      </c>
      <c r="K16" s="14" t="str">
        <f>IF(OR(WEEKDAY($B16,2)&gt;5,COUNTIF(FESTIVOS!$A:$A,$B16)&gt;0),G16,"")</f>
        <v/>
      </c>
      <c r="L16" s="11"/>
    </row>
    <row r="17" spans="1:12" x14ac:dyDescent="0.3">
      <c r="A17" s="15" t="s">
        <v>20</v>
      </c>
      <c r="B17" s="16">
        <v>46368</v>
      </c>
      <c r="C17" s="17">
        <v>0</v>
      </c>
      <c r="D17" s="17">
        <v>0</v>
      </c>
      <c r="E17" s="17">
        <v>0</v>
      </c>
      <c r="F17" s="17">
        <v>0</v>
      </c>
      <c r="G17" s="18">
        <f t="shared" si="0"/>
        <v>0</v>
      </c>
      <c r="H17" s="18">
        <f>IF(OR(WEEKDAY($B17,2)&gt;5,COUNTIF(FESTIVOS!$A:$A,$B17)&gt;0),0,$H$3*24)</f>
        <v>0</v>
      </c>
      <c r="I17" s="18">
        <f>IF(OR(WEEKDAY($B17,2)&gt;5,COUNTIF(FESTIVOS!$A:$A,$B17)&gt;0),0,$I$3*24)</f>
        <v>0</v>
      </c>
      <c r="J17" s="18" t="str">
        <f>IF(OR(WEEKDAY($B17,2)&gt;5,COUNTIF(FESTIVOS!$A:$A,$B17)&gt;0),"",G17-I17-H17)</f>
        <v/>
      </c>
      <c r="K17" s="18">
        <f>IF(OR(WEEKDAY($B17,2)&gt;5,COUNTIF(FESTIVOS!$A:$A,$B17)&gt;0),G17,"")</f>
        <v>0</v>
      </c>
      <c r="L17" s="15"/>
    </row>
    <row r="18" spans="1:12" x14ac:dyDescent="0.3">
      <c r="A18" s="15" t="s">
        <v>21</v>
      </c>
      <c r="B18" s="16">
        <v>46369</v>
      </c>
      <c r="C18" s="17">
        <v>0</v>
      </c>
      <c r="D18" s="17">
        <v>0</v>
      </c>
      <c r="E18" s="17">
        <v>0</v>
      </c>
      <c r="F18" s="17">
        <v>0</v>
      </c>
      <c r="G18" s="18">
        <f t="shared" si="0"/>
        <v>0</v>
      </c>
      <c r="H18" s="18">
        <f>IF(OR(WEEKDAY($B18,2)&gt;5,COUNTIF(FESTIVOS!$A:$A,$B18)&gt;0),0,$H$3*24)</f>
        <v>0</v>
      </c>
      <c r="I18" s="18">
        <f>IF(OR(WEEKDAY($B18,2)&gt;5,COUNTIF(FESTIVOS!$A:$A,$B18)&gt;0),0,$I$3*24)</f>
        <v>0</v>
      </c>
      <c r="J18" s="18" t="str">
        <f>IF(OR(WEEKDAY($B18,2)&gt;5,COUNTIF(FESTIVOS!$A:$A,$B18)&gt;0),"",G18-I18-H18)</f>
        <v/>
      </c>
      <c r="K18" s="18">
        <f>IF(OR(WEEKDAY($B18,2)&gt;5,COUNTIF(FESTIVOS!$A:$A,$B18)&gt;0),G18,"")</f>
        <v>0</v>
      </c>
      <c r="L18" s="15"/>
    </row>
    <row r="19" spans="1:12" x14ac:dyDescent="0.3">
      <c r="A19" s="11" t="s">
        <v>15</v>
      </c>
      <c r="B19" s="12">
        <v>46370</v>
      </c>
      <c r="C19" s="13">
        <v>0</v>
      </c>
      <c r="D19" s="13">
        <v>0</v>
      </c>
      <c r="E19" s="13">
        <v>0</v>
      </c>
      <c r="F19" s="13">
        <v>0</v>
      </c>
      <c r="G19" s="14">
        <f t="shared" si="0"/>
        <v>0</v>
      </c>
      <c r="H19" s="14">
        <f>IF(OR(WEEKDAY($B19,2)&gt;5,COUNTIF(FESTIVOS!$A:$A,$B19)&gt;0),0,$H$3*24)</f>
        <v>0.49999999999999989</v>
      </c>
      <c r="I19" s="14">
        <f>IF(OR(WEEKDAY($B19,2)&gt;5,COUNTIF(FESTIVOS!$A:$A,$B19)&gt;0),0,$I$3*24)</f>
        <v>8</v>
      </c>
      <c r="J19" s="14">
        <f>IF(OR(WEEKDAY($B19,2)&gt;5,COUNTIF(FESTIVOS!$A:$A,$B19)&gt;0),"",G19-I19-H19)</f>
        <v>-8.5</v>
      </c>
      <c r="K19" s="14" t="str">
        <f>IF(OR(WEEKDAY($B19,2)&gt;5,COUNTIF(FESTIVOS!$A:$A,$B19)&gt;0),G19,"")</f>
        <v/>
      </c>
      <c r="L19" s="11"/>
    </row>
    <row r="20" spans="1:12" x14ac:dyDescent="0.3">
      <c r="A20" s="11" t="s">
        <v>16</v>
      </c>
      <c r="B20" s="12">
        <v>46371</v>
      </c>
      <c r="C20" s="13">
        <v>0</v>
      </c>
      <c r="D20" s="13">
        <v>0</v>
      </c>
      <c r="E20" s="13">
        <v>0</v>
      </c>
      <c r="F20" s="13">
        <v>0</v>
      </c>
      <c r="G20" s="14">
        <f t="shared" si="0"/>
        <v>0</v>
      </c>
      <c r="H20" s="14">
        <f>IF(OR(WEEKDAY($B20,2)&gt;5,COUNTIF(FESTIVOS!$A:$A,$B20)&gt;0),0,$H$3*24)</f>
        <v>0.49999999999999989</v>
      </c>
      <c r="I20" s="14">
        <f>IF(OR(WEEKDAY($B20,2)&gt;5,COUNTIF(FESTIVOS!$A:$A,$B20)&gt;0),0,$I$3*24)</f>
        <v>8</v>
      </c>
      <c r="J20" s="14">
        <f>IF(OR(WEEKDAY($B20,2)&gt;5,COUNTIF(FESTIVOS!$A:$A,$B20)&gt;0),"",G20-I20-H20)</f>
        <v>-8.5</v>
      </c>
      <c r="K20" s="14" t="str">
        <f>IF(OR(WEEKDAY($B20,2)&gt;5,COUNTIF(FESTIVOS!$A:$A,$B20)&gt;0),G20,"")</f>
        <v/>
      </c>
      <c r="L20" s="11"/>
    </row>
    <row r="21" spans="1:12" x14ac:dyDescent="0.3">
      <c r="A21" s="11" t="s">
        <v>17</v>
      </c>
      <c r="B21" s="12">
        <v>46372</v>
      </c>
      <c r="C21" s="13">
        <v>0</v>
      </c>
      <c r="D21" s="13">
        <v>0</v>
      </c>
      <c r="E21" s="13">
        <v>0</v>
      </c>
      <c r="F21" s="13">
        <v>0</v>
      </c>
      <c r="G21" s="14">
        <f t="shared" si="0"/>
        <v>0</v>
      </c>
      <c r="H21" s="14">
        <f>IF(OR(WEEKDAY($B21,2)&gt;5,COUNTIF(FESTIVOS!$A:$A,$B21)&gt;0),0,$H$3*24)</f>
        <v>0.49999999999999989</v>
      </c>
      <c r="I21" s="14">
        <f>IF(OR(WEEKDAY($B21,2)&gt;5,COUNTIF(FESTIVOS!$A:$A,$B21)&gt;0),0,$I$3*24)</f>
        <v>8</v>
      </c>
      <c r="J21" s="14">
        <f>IF(OR(WEEKDAY($B21,2)&gt;5,COUNTIF(FESTIVOS!$A:$A,$B21)&gt;0),"",G21-I21-H21)</f>
        <v>-8.5</v>
      </c>
      <c r="K21" s="14" t="str">
        <f>IF(OR(WEEKDAY($B21,2)&gt;5,COUNTIF(FESTIVOS!$A:$A,$B21)&gt;0),G21,"")</f>
        <v/>
      </c>
      <c r="L21" s="11"/>
    </row>
    <row r="22" spans="1:12" x14ac:dyDescent="0.3">
      <c r="A22" s="11" t="s">
        <v>18</v>
      </c>
      <c r="B22" s="12">
        <v>46373</v>
      </c>
      <c r="C22" s="13">
        <v>0</v>
      </c>
      <c r="D22" s="13">
        <v>0</v>
      </c>
      <c r="E22" s="13">
        <v>0</v>
      </c>
      <c r="F22" s="13">
        <v>0</v>
      </c>
      <c r="G22" s="14">
        <f t="shared" si="0"/>
        <v>0</v>
      </c>
      <c r="H22" s="14">
        <f>IF(OR(WEEKDAY($B22,2)&gt;5,COUNTIF(FESTIVOS!$A:$A,$B22)&gt;0),0,$H$3*24)</f>
        <v>0.49999999999999989</v>
      </c>
      <c r="I22" s="14">
        <f>IF(OR(WEEKDAY($B22,2)&gt;5,COUNTIF(FESTIVOS!$A:$A,$B22)&gt;0),0,$I$3*24)</f>
        <v>8</v>
      </c>
      <c r="J22" s="14">
        <f>IF(OR(WEEKDAY($B22,2)&gt;5,COUNTIF(FESTIVOS!$A:$A,$B22)&gt;0),"",G22-I22-H22)</f>
        <v>-8.5</v>
      </c>
      <c r="K22" s="14" t="str">
        <f>IF(OR(WEEKDAY($B22,2)&gt;5,COUNTIF(FESTIVOS!$A:$A,$B22)&gt;0),G22,"")</f>
        <v/>
      </c>
      <c r="L22" s="11"/>
    </row>
    <row r="23" spans="1:12" x14ac:dyDescent="0.3">
      <c r="A23" s="11" t="s">
        <v>19</v>
      </c>
      <c r="B23" s="12">
        <v>46374</v>
      </c>
      <c r="C23" s="13">
        <v>0</v>
      </c>
      <c r="D23" s="13">
        <v>0</v>
      </c>
      <c r="E23" s="13">
        <v>0</v>
      </c>
      <c r="F23" s="13">
        <v>0</v>
      </c>
      <c r="G23" s="14">
        <f t="shared" si="0"/>
        <v>0</v>
      </c>
      <c r="H23" s="14">
        <f>IF(OR(WEEKDAY($B23,2)&gt;5,COUNTIF(FESTIVOS!$A:$A,$B23)&gt;0),0,$H$3*24)</f>
        <v>0.49999999999999989</v>
      </c>
      <c r="I23" s="14">
        <f>IF(OR(WEEKDAY($B23,2)&gt;5,COUNTIF(FESTIVOS!$A:$A,$B23)&gt;0),0,$I$3*24)</f>
        <v>8</v>
      </c>
      <c r="J23" s="14">
        <f>IF(OR(WEEKDAY($B23,2)&gt;5,COUNTIF(FESTIVOS!$A:$A,$B23)&gt;0),"",G23-I23-H23)</f>
        <v>-8.5</v>
      </c>
      <c r="K23" s="14" t="str">
        <f>IF(OR(WEEKDAY($B23,2)&gt;5,COUNTIF(FESTIVOS!$A:$A,$B23)&gt;0),G23,"")</f>
        <v/>
      </c>
      <c r="L23" s="11"/>
    </row>
    <row r="24" spans="1:12" x14ac:dyDescent="0.3">
      <c r="A24" s="15" t="s">
        <v>20</v>
      </c>
      <c r="B24" s="16">
        <v>46375</v>
      </c>
      <c r="C24" s="17">
        <v>0</v>
      </c>
      <c r="D24" s="17">
        <v>0</v>
      </c>
      <c r="E24" s="17">
        <v>0</v>
      </c>
      <c r="F24" s="17">
        <v>0</v>
      </c>
      <c r="G24" s="18">
        <f t="shared" si="0"/>
        <v>0</v>
      </c>
      <c r="H24" s="18">
        <f>IF(OR(WEEKDAY($B24,2)&gt;5,COUNTIF(FESTIVOS!$A:$A,$B24)&gt;0),0,$H$3*24)</f>
        <v>0</v>
      </c>
      <c r="I24" s="18">
        <f>IF(OR(WEEKDAY($B24,2)&gt;5,COUNTIF(FESTIVOS!$A:$A,$B24)&gt;0),0,$I$3*24)</f>
        <v>0</v>
      </c>
      <c r="J24" s="18" t="str">
        <f>IF(OR(WEEKDAY($B24,2)&gt;5,COUNTIF(FESTIVOS!$A:$A,$B24)&gt;0),"",G24-I24-H24)</f>
        <v/>
      </c>
      <c r="K24" s="18">
        <f>IF(OR(WEEKDAY($B24,2)&gt;5,COUNTIF(FESTIVOS!$A:$A,$B24)&gt;0),G24,"")</f>
        <v>0</v>
      </c>
      <c r="L24" s="15"/>
    </row>
    <row r="25" spans="1:12" x14ac:dyDescent="0.3">
      <c r="A25" s="15" t="s">
        <v>21</v>
      </c>
      <c r="B25" s="16">
        <v>46376</v>
      </c>
      <c r="C25" s="17">
        <v>0</v>
      </c>
      <c r="D25" s="17">
        <v>0</v>
      </c>
      <c r="E25" s="17">
        <v>0</v>
      </c>
      <c r="F25" s="17">
        <v>0</v>
      </c>
      <c r="G25" s="18">
        <f t="shared" si="0"/>
        <v>0</v>
      </c>
      <c r="H25" s="18">
        <f>IF(OR(WEEKDAY($B25,2)&gt;5,COUNTIF(FESTIVOS!$A:$A,$B25)&gt;0),0,$H$3*24)</f>
        <v>0</v>
      </c>
      <c r="I25" s="18">
        <f>IF(OR(WEEKDAY($B25,2)&gt;5,COUNTIF(FESTIVOS!$A:$A,$B25)&gt;0),0,$I$3*24)</f>
        <v>0</v>
      </c>
      <c r="J25" s="18" t="str">
        <f>IF(OR(WEEKDAY($B25,2)&gt;5,COUNTIF(FESTIVOS!$A:$A,$B25)&gt;0),"",G25-I25-H25)</f>
        <v/>
      </c>
      <c r="K25" s="18">
        <f>IF(OR(WEEKDAY($B25,2)&gt;5,COUNTIF(FESTIVOS!$A:$A,$B25)&gt;0),G25,"")</f>
        <v>0</v>
      </c>
      <c r="L25" s="15"/>
    </row>
    <row r="26" spans="1:12" x14ac:dyDescent="0.3">
      <c r="A26" s="11" t="s">
        <v>15</v>
      </c>
      <c r="B26" s="12">
        <v>46377</v>
      </c>
      <c r="C26" s="13">
        <v>0</v>
      </c>
      <c r="D26" s="13">
        <v>0</v>
      </c>
      <c r="E26" s="13">
        <v>0</v>
      </c>
      <c r="F26" s="13">
        <v>0</v>
      </c>
      <c r="G26" s="14">
        <f t="shared" si="0"/>
        <v>0</v>
      </c>
      <c r="H26" s="14">
        <f>IF(OR(WEEKDAY($B26,2)&gt;5,COUNTIF(FESTIVOS!$A:$A,$B26)&gt;0),0,$H$3*24)</f>
        <v>0.49999999999999989</v>
      </c>
      <c r="I26" s="14">
        <f>IF(OR(WEEKDAY($B26,2)&gt;5,COUNTIF(FESTIVOS!$A:$A,$B26)&gt;0),0,$I$3*24)</f>
        <v>8</v>
      </c>
      <c r="J26" s="14">
        <f>IF(OR(WEEKDAY($B26,2)&gt;5,COUNTIF(FESTIVOS!$A:$A,$B26)&gt;0),"",G26-I26-H26)</f>
        <v>-8.5</v>
      </c>
      <c r="K26" s="14" t="str">
        <f>IF(OR(WEEKDAY($B26,2)&gt;5,COUNTIF(FESTIVOS!$A:$A,$B26)&gt;0),G26,"")</f>
        <v/>
      </c>
      <c r="L26" s="11"/>
    </row>
    <row r="27" spans="1:12" x14ac:dyDescent="0.3">
      <c r="A27" s="11" t="s">
        <v>16</v>
      </c>
      <c r="B27" s="12">
        <v>46378</v>
      </c>
      <c r="C27" s="13">
        <v>0</v>
      </c>
      <c r="D27" s="13">
        <v>0</v>
      </c>
      <c r="E27" s="13">
        <v>0</v>
      </c>
      <c r="F27" s="13">
        <v>0</v>
      </c>
      <c r="G27" s="14">
        <f t="shared" si="0"/>
        <v>0</v>
      </c>
      <c r="H27" s="14">
        <f>IF(OR(WEEKDAY($B27,2)&gt;5,COUNTIF(FESTIVOS!$A:$A,$B27)&gt;0),0,$H$3*24)</f>
        <v>0.49999999999999989</v>
      </c>
      <c r="I27" s="14">
        <f>IF(OR(WEEKDAY($B27,2)&gt;5,COUNTIF(FESTIVOS!$A:$A,$B27)&gt;0),0,$I$3*24)</f>
        <v>8</v>
      </c>
      <c r="J27" s="14">
        <f>IF(OR(WEEKDAY($B27,2)&gt;5,COUNTIF(FESTIVOS!$A:$A,$B27)&gt;0),"",G27-I27-H27)</f>
        <v>-8.5</v>
      </c>
      <c r="K27" s="14" t="str">
        <f>IF(OR(WEEKDAY($B27,2)&gt;5,COUNTIF(FESTIVOS!$A:$A,$B27)&gt;0),G27,"")</f>
        <v/>
      </c>
      <c r="L27" s="11"/>
    </row>
    <row r="28" spans="1:12" x14ac:dyDescent="0.3">
      <c r="A28" s="11" t="s">
        <v>17</v>
      </c>
      <c r="B28" s="12">
        <v>46379</v>
      </c>
      <c r="C28" s="13">
        <v>0</v>
      </c>
      <c r="D28" s="13">
        <v>0</v>
      </c>
      <c r="E28" s="13">
        <v>0</v>
      </c>
      <c r="F28" s="13">
        <v>0</v>
      </c>
      <c r="G28" s="14">
        <f t="shared" si="0"/>
        <v>0</v>
      </c>
      <c r="H28" s="14">
        <f>IF(OR(WEEKDAY($B28,2)&gt;5,COUNTIF(FESTIVOS!$A:$A,$B28)&gt;0),0,$H$3*24)</f>
        <v>0.49999999999999989</v>
      </c>
      <c r="I28" s="14">
        <f>IF(OR(WEEKDAY($B28,2)&gt;5,COUNTIF(FESTIVOS!$A:$A,$B28)&gt;0),0,$I$3*24)</f>
        <v>8</v>
      </c>
      <c r="J28" s="14">
        <f>IF(OR(WEEKDAY($B28,2)&gt;5,COUNTIF(FESTIVOS!$A:$A,$B28)&gt;0),"",G28-I28-H28)</f>
        <v>-8.5</v>
      </c>
      <c r="K28" s="14" t="str">
        <f>IF(OR(WEEKDAY($B28,2)&gt;5,COUNTIF(FESTIVOS!$A:$A,$B28)&gt;0),G28,"")</f>
        <v/>
      </c>
      <c r="L28" s="11"/>
    </row>
    <row r="29" spans="1:12" x14ac:dyDescent="0.3">
      <c r="A29" s="11" t="s">
        <v>18</v>
      </c>
      <c r="B29" s="12">
        <v>46380</v>
      </c>
      <c r="C29" s="13">
        <v>0</v>
      </c>
      <c r="D29" s="13">
        <v>0</v>
      </c>
      <c r="E29" s="13">
        <v>0</v>
      </c>
      <c r="F29" s="13">
        <v>0</v>
      </c>
      <c r="G29" s="14">
        <f t="shared" si="0"/>
        <v>0</v>
      </c>
      <c r="H29" s="14">
        <f>IF(OR(WEEKDAY($B29,2)&gt;5,COUNTIF(FESTIVOS!$A:$A,$B29)&gt;0),0,$H$3*24)</f>
        <v>0.49999999999999989</v>
      </c>
      <c r="I29" s="14">
        <f>IF(OR(WEEKDAY($B29,2)&gt;5,COUNTIF(FESTIVOS!$A:$A,$B29)&gt;0),0,$I$3*24)</f>
        <v>8</v>
      </c>
      <c r="J29" s="14">
        <f>IF(OR(WEEKDAY($B29,2)&gt;5,COUNTIF(FESTIVOS!$A:$A,$B29)&gt;0),"",G29-I29-H29)</f>
        <v>-8.5</v>
      </c>
      <c r="K29" s="14" t="str">
        <f>IF(OR(WEEKDAY($B29,2)&gt;5,COUNTIF(FESTIVOS!$A:$A,$B29)&gt;0),G29,"")</f>
        <v/>
      </c>
      <c r="L29" s="11"/>
    </row>
    <row r="30" spans="1:12" x14ac:dyDescent="0.3">
      <c r="A30" s="15" t="s">
        <v>19</v>
      </c>
      <c r="B30" s="16">
        <v>46381</v>
      </c>
      <c r="C30" s="17">
        <v>0</v>
      </c>
      <c r="D30" s="17">
        <v>0</v>
      </c>
      <c r="E30" s="17">
        <v>0</v>
      </c>
      <c r="F30" s="17">
        <v>0</v>
      </c>
      <c r="G30" s="18">
        <f t="shared" si="0"/>
        <v>0</v>
      </c>
      <c r="H30" s="18">
        <f>IF(OR(WEEKDAY($B30,2)&gt;5,COUNTIF(FESTIVOS!$A:$A,$B30)&gt;0),0,$H$3*24)</f>
        <v>0</v>
      </c>
      <c r="I30" s="18">
        <f>IF(OR(WEEKDAY($B30,2)&gt;5,COUNTIF(FESTIVOS!$A:$A,$B30)&gt;0),0,$I$3*24)</f>
        <v>0</v>
      </c>
      <c r="J30" s="18" t="str">
        <f>IF(OR(WEEKDAY($B30,2)&gt;5,COUNTIF(FESTIVOS!$A:$A,$B30)&gt;0),"",G30-I30-H30)</f>
        <v/>
      </c>
      <c r="K30" s="18">
        <f>IF(OR(WEEKDAY($B30,2)&gt;5,COUNTIF(FESTIVOS!$A:$A,$B30)&gt;0),G30,"")</f>
        <v>0</v>
      </c>
      <c r="L30" s="15"/>
    </row>
    <row r="31" spans="1:12" x14ac:dyDescent="0.3">
      <c r="A31" s="15" t="s">
        <v>20</v>
      </c>
      <c r="B31" s="16">
        <v>46382</v>
      </c>
      <c r="C31" s="17">
        <v>0</v>
      </c>
      <c r="D31" s="17">
        <v>0</v>
      </c>
      <c r="E31" s="17">
        <v>0</v>
      </c>
      <c r="F31" s="17">
        <v>0</v>
      </c>
      <c r="G31" s="18">
        <f t="shared" si="0"/>
        <v>0</v>
      </c>
      <c r="H31" s="18">
        <f>IF(OR(WEEKDAY($B31,2)&gt;5,COUNTIF(FESTIVOS!$A:$A,$B31)&gt;0),0,$H$3*24)</f>
        <v>0</v>
      </c>
      <c r="I31" s="18">
        <f>IF(OR(WEEKDAY($B31,2)&gt;5,COUNTIF(FESTIVOS!$A:$A,$B31)&gt;0),0,$I$3*24)</f>
        <v>0</v>
      </c>
      <c r="J31" s="18" t="str">
        <f>IF(OR(WEEKDAY($B31,2)&gt;5,COUNTIF(FESTIVOS!$A:$A,$B31)&gt;0),"",G31-I31-H31)</f>
        <v/>
      </c>
      <c r="K31" s="18">
        <f>IF(OR(WEEKDAY($B31,2)&gt;5,COUNTIF(FESTIVOS!$A:$A,$B31)&gt;0),G31,"")</f>
        <v>0</v>
      </c>
      <c r="L31" s="15"/>
    </row>
    <row r="32" spans="1:12" x14ac:dyDescent="0.3">
      <c r="A32" s="15" t="s">
        <v>21</v>
      </c>
      <c r="B32" s="16">
        <v>46383</v>
      </c>
      <c r="C32" s="17">
        <v>0</v>
      </c>
      <c r="D32" s="17">
        <v>0</v>
      </c>
      <c r="E32" s="17">
        <v>0</v>
      </c>
      <c r="F32" s="17">
        <v>0</v>
      </c>
      <c r="G32" s="18">
        <f t="shared" si="0"/>
        <v>0</v>
      </c>
      <c r="H32" s="18">
        <f>IF(OR(WEEKDAY($B32,2)&gt;5,COUNTIF(FESTIVOS!$A:$A,$B32)&gt;0),0,$H$3*24)</f>
        <v>0</v>
      </c>
      <c r="I32" s="18">
        <f>IF(OR(WEEKDAY($B32,2)&gt;5,COUNTIF(FESTIVOS!$A:$A,$B32)&gt;0),0,$I$3*24)</f>
        <v>0</v>
      </c>
      <c r="J32" s="18" t="str">
        <f>IF(OR(WEEKDAY($B32,2)&gt;5,COUNTIF(FESTIVOS!$A:$A,$B32)&gt;0),"",G32-I32-H32)</f>
        <v/>
      </c>
      <c r="K32" s="18">
        <f>IF(OR(WEEKDAY($B32,2)&gt;5,COUNTIF(FESTIVOS!$A:$A,$B32)&gt;0),G32,"")</f>
        <v>0</v>
      </c>
      <c r="L32" s="15"/>
    </row>
    <row r="33" spans="1:12" x14ac:dyDescent="0.3">
      <c r="A33" s="11" t="s">
        <v>15</v>
      </c>
      <c r="B33" s="12">
        <v>46384</v>
      </c>
      <c r="C33" s="13">
        <v>0</v>
      </c>
      <c r="D33" s="13">
        <v>0</v>
      </c>
      <c r="E33" s="13">
        <v>0</v>
      </c>
      <c r="F33" s="13">
        <v>0</v>
      </c>
      <c r="G33" s="14">
        <f t="shared" si="0"/>
        <v>0</v>
      </c>
      <c r="H33" s="14">
        <f>IF(OR(WEEKDAY($B33,2)&gt;5,COUNTIF(FESTIVOS!$A:$A,$B33)&gt;0),0,$H$3*24)</f>
        <v>0.49999999999999989</v>
      </c>
      <c r="I33" s="14">
        <f>IF(OR(WEEKDAY($B33,2)&gt;5,COUNTIF(FESTIVOS!$A:$A,$B33)&gt;0),0,$I$3*24)</f>
        <v>8</v>
      </c>
      <c r="J33" s="14">
        <f>IF(OR(WEEKDAY($B33,2)&gt;5,COUNTIF(FESTIVOS!$A:$A,$B33)&gt;0),"",G33-I33-H33)</f>
        <v>-8.5</v>
      </c>
      <c r="K33" s="14" t="str">
        <f>IF(OR(WEEKDAY($B33,2)&gt;5,COUNTIF(FESTIVOS!$A:$A,$B33)&gt;0),G33,"")</f>
        <v/>
      </c>
      <c r="L33" s="11"/>
    </row>
    <row r="34" spans="1:12" x14ac:dyDescent="0.3">
      <c r="A34" s="11" t="s">
        <v>16</v>
      </c>
      <c r="B34" s="12">
        <v>46385</v>
      </c>
      <c r="C34" s="13">
        <v>0</v>
      </c>
      <c r="D34" s="13">
        <v>0</v>
      </c>
      <c r="E34" s="13">
        <v>0</v>
      </c>
      <c r="F34" s="13">
        <v>0</v>
      </c>
      <c r="G34" s="14">
        <f t="shared" si="0"/>
        <v>0</v>
      </c>
      <c r="H34" s="14">
        <f>IF(OR(WEEKDAY($B34,2)&gt;5,COUNTIF(FESTIVOS!$A:$A,$B34)&gt;0),0,$H$3*24)</f>
        <v>0.49999999999999989</v>
      </c>
      <c r="I34" s="14">
        <f>IF(OR(WEEKDAY($B34,2)&gt;5,COUNTIF(FESTIVOS!$A:$A,$B34)&gt;0),0,$I$3*24)</f>
        <v>8</v>
      </c>
      <c r="J34" s="14">
        <f>IF(OR(WEEKDAY($B34,2)&gt;5,COUNTIF(FESTIVOS!$A:$A,$B34)&gt;0),"",G34-I34-H34)</f>
        <v>-8.5</v>
      </c>
      <c r="K34" s="14" t="str">
        <f>IF(OR(WEEKDAY($B34,2)&gt;5,COUNTIF(FESTIVOS!$A:$A,$B34)&gt;0),G34,"")</f>
        <v/>
      </c>
      <c r="L34" s="11"/>
    </row>
    <row r="35" spans="1:12" x14ac:dyDescent="0.3">
      <c r="A35" s="11" t="s">
        <v>17</v>
      </c>
      <c r="B35" s="12">
        <v>46386</v>
      </c>
      <c r="C35" s="13">
        <v>0</v>
      </c>
      <c r="D35" s="13">
        <v>0</v>
      </c>
      <c r="E35" s="13">
        <v>0</v>
      </c>
      <c r="F35" s="13">
        <v>0</v>
      </c>
      <c r="G35" s="14">
        <f t="shared" si="0"/>
        <v>0</v>
      </c>
      <c r="H35" s="14">
        <f>IF(OR(WEEKDAY($B35,2)&gt;5,COUNTIF(FESTIVOS!$A:$A,$B35)&gt;0),0,$H$3*24)</f>
        <v>0.49999999999999989</v>
      </c>
      <c r="I35" s="14">
        <f>IF(OR(WEEKDAY($B35,2)&gt;5,COUNTIF(FESTIVOS!$A:$A,$B35)&gt;0),0,$I$3*24)</f>
        <v>8</v>
      </c>
      <c r="J35" s="14">
        <f>IF(OR(WEEKDAY($B35,2)&gt;5,COUNTIF(FESTIVOS!$A:$A,$B35)&gt;0),"",G35-I35-H35)</f>
        <v>-8.5</v>
      </c>
      <c r="K35" s="14" t="str">
        <f>IF(OR(WEEKDAY($B35,2)&gt;5,COUNTIF(FESTIVOS!$A:$A,$B35)&gt;0),G35,"")</f>
        <v/>
      </c>
      <c r="L35" s="11"/>
    </row>
    <row r="36" spans="1:12" x14ac:dyDescent="0.3">
      <c r="A36" s="11" t="s">
        <v>18</v>
      </c>
      <c r="B36" s="12">
        <v>46387</v>
      </c>
      <c r="C36" s="13">
        <v>0</v>
      </c>
      <c r="D36" s="13">
        <v>0</v>
      </c>
      <c r="E36" s="13">
        <v>0</v>
      </c>
      <c r="F36" s="13">
        <v>0</v>
      </c>
      <c r="G36" s="14">
        <f t="shared" si="0"/>
        <v>0</v>
      </c>
      <c r="H36" s="14">
        <f>IF(OR(WEEKDAY($B36,2)&gt;5,COUNTIF(FESTIVOS!$A:$A,$B36)&gt;0),0,$H$3*24)</f>
        <v>0.49999999999999989</v>
      </c>
      <c r="I36" s="14">
        <f>IF(OR(WEEKDAY($B36,2)&gt;5,COUNTIF(FESTIVOS!$A:$A,$B36)&gt;0),0,$I$3*24)</f>
        <v>8</v>
      </c>
      <c r="J36" s="14">
        <f>IF(OR(WEEKDAY($B36,2)&gt;5,COUNTIF(FESTIVOS!$A:$A,$B36)&gt;0),"",G36-I36-H36)</f>
        <v>-8.5</v>
      </c>
      <c r="K36" s="14" t="str">
        <f>IF(OR(WEEKDAY($B36,2)&gt;5,COUNTIF(FESTIVOS!$A:$A,$B36)&gt;0),G36,"")</f>
        <v/>
      </c>
      <c r="L36" s="11"/>
    </row>
  </sheetData>
  <mergeCells count="1">
    <mergeCell ref="C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4"/>
  <sheetViews>
    <sheetView workbookViewId="0"/>
  </sheetViews>
  <sheetFormatPr baseColWidth="10" defaultColWidth="9.140625" defaultRowHeight="15" x14ac:dyDescent="0.25"/>
  <sheetData>
    <row r="1" spans="1:1" x14ac:dyDescent="0.25">
      <c r="A1" s="1">
        <v>45658</v>
      </c>
    </row>
    <row r="2" spans="1:1" x14ac:dyDescent="0.25">
      <c r="A2" s="1">
        <v>45663</v>
      </c>
    </row>
    <row r="3" spans="1:1" x14ac:dyDescent="0.25">
      <c r="A3" s="1">
        <v>45717</v>
      </c>
    </row>
    <row r="4" spans="1:1" x14ac:dyDescent="0.25">
      <c r="A4" s="1">
        <v>45764</v>
      </c>
    </row>
    <row r="5" spans="1:1" x14ac:dyDescent="0.25">
      <c r="A5" s="1">
        <v>45765</v>
      </c>
    </row>
    <row r="6" spans="1:1" x14ac:dyDescent="0.25">
      <c r="A6" s="1">
        <v>45778</v>
      </c>
    </row>
    <row r="7" spans="1:1" x14ac:dyDescent="0.25">
      <c r="A7" s="1">
        <v>45884</v>
      </c>
    </row>
    <row r="8" spans="1:1" x14ac:dyDescent="0.25">
      <c r="A8" s="1">
        <v>45962</v>
      </c>
    </row>
    <row r="9" spans="1:1" x14ac:dyDescent="0.25">
      <c r="A9" s="1">
        <v>45997</v>
      </c>
    </row>
    <row r="10" spans="1:1" x14ac:dyDescent="0.25">
      <c r="A10" s="1">
        <v>45999</v>
      </c>
    </row>
    <row r="11" spans="1:1" x14ac:dyDescent="0.25">
      <c r="A11" s="1">
        <v>46016</v>
      </c>
    </row>
    <row r="12" spans="1:1" x14ac:dyDescent="0.25">
      <c r="A12" s="1">
        <v>46017</v>
      </c>
    </row>
    <row r="13" spans="1:1" x14ac:dyDescent="0.25">
      <c r="A13" s="1">
        <v>46023</v>
      </c>
    </row>
    <row r="14" spans="1:1" x14ac:dyDescent="0.25">
      <c r="A14" s="1">
        <v>46028</v>
      </c>
    </row>
    <row r="15" spans="1:1" x14ac:dyDescent="0.25">
      <c r="A15" s="1">
        <v>46083</v>
      </c>
    </row>
    <row r="16" spans="1:1" x14ac:dyDescent="0.25">
      <c r="A16" s="1">
        <v>46114</v>
      </c>
    </row>
    <row r="17" spans="1:1" x14ac:dyDescent="0.25">
      <c r="A17" s="1">
        <v>46115</v>
      </c>
    </row>
    <row r="18" spans="1:1" x14ac:dyDescent="0.25">
      <c r="A18" s="1">
        <v>46118</v>
      </c>
    </row>
    <row r="19" spans="1:1" x14ac:dyDescent="0.25">
      <c r="A19" s="1">
        <v>46143</v>
      </c>
    </row>
    <row r="20" spans="1:1" x14ac:dyDescent="0.25">
      <c r="A20" s="1">
        <v>46249</v>
      </c>
    </row>
    <row r="21" spans="1:1" x14ac:dyDescent="0.25">
      <c r="A21" s="1">
        <v>46307</v>
      </c>
    </row>
    <row r="22" spans="1:1" x14ac:dyDescent="0.25">
      <c r="A22" s="1">
        <v>46364</v>
      </c>
    </row>
    <row r="23" spans="1:1" x14ac:dyDescent="0.25">
      <c r="A23" s="1">
        <v>46381</v>
      </c>
    </row>
    <row r="24" spans="1:1" x14ac:dyDescent="0.25">
      <c r="A24" s="1">
        <v>46382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DICIEMBRE 2025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FESTIVOS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Mirian Gicela · Decoraciones Egea</cp:lastModifiedBy>
  <dcterms:created xsi:type="dcterms:W3CDTF">2026-01-07T11:46:45Z</dcterms:created>
  <dcterms:modified xsi:type="dcterms:W3CDTF">2026-07-21T07:25:52Z</dcterms:modified>
</cp:coreProperties>
</file>