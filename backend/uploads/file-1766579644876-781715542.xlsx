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E4D8EFF9-7FAC-48AC-AFAF-53448EBF7E11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DICIEMBRE 2024" sheetId="14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" i="5" l="1"/>
  <c r="M2" i="5"/>
  <c r="O3" i="3"/>
  <c r="N3" i="3"/>
  <c r="O3" i="4"/>
  <c r="N3" i="4"/>
  <c r="O3" i="5"/>
  <c r="O5" i="5" s="1"/>
  <c r="P5" i="5" s="1"/>
  <c r="N3" i="5"/>
  <c r="O3" i="6"/>
  <c r="N3" i="6"/>
  <c r="O3" i="7"/>
  <c r="N3" i="7"/>
  <c r="O3" i="8"/>
  <c r="N3" i="8"/>
  <c r="O3" i="9"/>
  <c r="N3" i="9"/>
  <c r="O3" i="10"/>
  <c r="N3" i="10"/>
  <c r="O3" i="11"/>
  <c r="O5" i="11" s="1"/>
  <c r="N3" i="11"/>
  <c r="O3" i="12"/>
  <c r="N3" i="12"/>
  <c r="O3" i="13"/>
  <c r="N3" i="13"/>
  <c r="O5" i="4"/>
  <c r="N5" i="4"/>
  <c r="N5" i="5"/>
  <c r="N5" i="6"/>
  <c r="O5" i="6"/>
  <c r="P5" i="6" s="1"/>
  <c r="O5" i="7"/>
  <c r="N5" i="7"/>
  <c r="N5" i="8"/>
  <c r="O5" i="8"/>
  <c r="P5" i="8" s="1"/>
  <c r="N5" i="9"/>
  <c r="O5" i="9"/>
  <c r="O5" i="10"/>
  <c r="N5" i="10"/>
  <c r="P5" i="10" s="1"/>
  <c r="N5" i="11"/>
  <c r="O5" i="12"/>
  <c r="N5" i="12"/>
  <c r="N5" i="13"/>
  <c r="O5" i="13"/>
  <c r="P5" i="13" s="1"/>
  <c r="N5" i="3"/>
  <c r="O5" i="3"/>
  <c r="P5" i="3" s="1"/>
  <c r="C3" i="13"/>
  <c r="C3" i="12"/>
  <c r="C3" i="11"/>
  <c r="C3" i="10"/>
  <c r="C3" i="9"/>
  <c r="C3" i="8"/>
  <c r="C3" i="7"/>
  <c r="C3" i="6"/>
  <c r="C3" i="5"/>
  <c r="C3" i="4"/>
  <c r="C3" i="3"/>
  <c r="G33" i="13"/>
  <c r="K33" i="13" s="1"/>
  <c r="G32" i="13"/>
  <c r="K32" i="13" s="1"/>
  <c r="G31" i="13"/>
  <c r="K31" i="13" s="1"/>
  <c r="G30" i="13"/>
  <c r="K30" i="13" s="1"/>
  <c r="G26" i="13"/>
  <c r="K26" i="13" s="1"/>
  <c r="G25" i="13"/>
  <c r="K25" i="13" s="1"/>
  <c r="G19" i="13"/>
  <c r="K19" i="13" s="1"/>
  <c r="G18" i="13"/>
  <c r="K18" i="13" s="1"/>
  <c r="G13" i="13"/>
  <c r="K13" i="13" s="1"/>
  <c r="G12" i="13"/>
  <c r="K12" i="13" s="1"/>
  <c r="G11" i="13"/>
  <c r="K11" i="13" s="1"/>
  <c r="G35" i="12"/>
  <c r="K35" i="12" s="1"/>
  <c r="G34" i="12"/>
  <c r="K34" i="12" s="1"/>
  <c r="G28" i="12"/>
  <c r="K28" i="12" s="1"/>
  <c r="G27" i="12"/>
  <c r="K27" i="12" s="1"/>
  <c r="G21" i="12"/>
  <c r="K21" i="12" s="1"/>
  <c r="G20" i="12"/>
  <c r="K20" i="12" s="1"/>
  <c r="G14" i="12"/>
  <c r="K14" i="12" s="1"/>
  <c r="G13" i="12"/>
  <c r="K13" i="12" s="1"/>
  <c r="K7" i="12"/>
  <c r="G7" i="12"/>
  <c r="K6" i="12"/>
  <c r="G6" i="12"/>
  <c r="G31" i="11"/>
  <c r="K31" i="11" s="1"/>
  <c r="G30" i="11"/>
  <c r="K30" i="11" s="1"/>
  <c r="G24" i="11"/>
  <c r="K24" i="11" s="1"/>
  <c r="G23" i="11"/>
  <c r="K23" i="11" s="1"/>
  <c r="G17" i="11"/>
  <c r="K17" i="11" s="1"/>
  <c r="G16" i="11"/>
  <c r="K16" i="11" s="1"/>
  <c r="G10" i="11"/>
  <c r="K10" i="11" s="1"/>
  <c r="G9" i="11"/>
  <c r="K9" i="11" s="1"/>
  <c r="G33" i="10"/>
  <c r="K33" i="10" s="1"/>
  <c r="G32" i="10"/>
  <c r="K32" i="10" s="1"/>
  <c r="G26" i="10"/>
  <c r="K26" i="10" s="1"/>
  <c r="G25" i="10"/>
  <c r="K25" i="10" s="1"/>
  <c r="G19" i="10"/>
  <c r="K19" i="10" s="1"/>
  <c r="G18" i="10"/>
  <c r="K18" i="10" s="1"/>
  <c r="G12" i="10"/>
  <c r="K12" i="10" s="1"/>
  <c r="G11" i="10"/>
  <c r="K11" i="10" s="1"/>
  <c r="G8" i="9"/>
  <c r="K8" i="9" s="1"/>
  <c r="G7" i="9"/>
  <c r="K7" i="9" s="1"/>
  <c r="G15" i="9"/>
  <c r="K15" i="9" s="1"/>
  <c r="G14" i="9"/>
  <c r="K14" i="9" s="1"/>
  <c r="G22" i="9"/>
  <c r="K22" i="9" s="1"/>
  <c r="G21" i="9"/>
  <c r="K21" i="9" s="1"/>
  <c r="G20" i="9"/>
  <c r="K20" i="9" s="1"/>
  <c r="K29" i="9"/>
  <c r="G29" i="9"/>
  <c r="G28" i="9"/>
  <c r="K28" i="9" s="1"/>
  <c r="G36" i="9"/>
  <c r="K36" i="9" s="1"/>
  <c r="G35" i="9"/>
  <c r="K35" i="9" s="1"/>
  <c r="G11" i="8"/>
  <c r="K11" i="8" s="1"/>
  <c r="G10" i="8"/>
  <c r="K10" i="8" s="1"/>
  <c r="G18" i="8"/>
  <c r="K18" i="8" s="1"/>
  <c r="G17" i="8"/>
  <c r="K17" i="8" s="1"/>
  <c r="G25" i="8"/>
  <c r="K25" i="8" s="1"/>
  <c r="G24" i="8"/>
  <c r="K24" i="8" s="1"/>
  <c r="G32" i="8"/>
  <c r="K32" i="8" s="1"/>
  <c r="G31" i="8"/>
  <c r="K31" i="8" s="1"/>
  <c r="G6" i="7"/>
  <c r="K6" i="7" s="1"/>
  <c r="G13" i="7"/>
  <c r="K13" i="7" s="1"/>
  <c r="K12" i="7"/>
  <c r="G12" i="7"/>
  <c r="G34" i="7"/>
  <c r="K34" i="7" s="1"/>
  <c r="G33" i="7"/>
  <c r="K33" i="7" s="1"/>
  <c r="G27" i="7"/>
  <c r="K27" i="7" s="1"/>
  <c r="G26" i="7"/>
  <c r="K26" i="7" s="1"/>
  <c r="G20" i="7"/>
  <c r="K20" i="7" s="1"/>
  <c r="G19" i="7"/>
  <c r="K19" i="7" s="1"/>
  <c r="G6" i="6"/>
  <c r="K6" i="6" s="1"/>
  <c r="G9" i="6"/>
  <c r="K9" i="6" s="1"/>
  <c r="G8" i="6"/>
  <c r="K8" i="6" s="1"/>
  <c r="G16" i="6"/>
  <c r="K16" i="6" s="1"/>
  <c r="G15" i="6"/>
  <c r="K15" i="6" s="1"/>
  <c r="G23" i="6"/>
  <c r="K23" i="6" s="1"/>
  <c r="G22" i="6"/>
  <c r="K22" i="6" s="1"/>
  <c r="G36" i="6"/>
  <c r="K36" i="6" s="1"/>
  <c r="G30" i="6"/>
  <c r="K30" i="6" s="1"/>
  <c r="G29" i="6"/>
  <c r="K29" i="6" s="1"/>
  <c r="G11" i="5"/>
  <c r="K11" i="5" s="1"/>
  <c r="G10" i="5"/>
  <c r="K10" i="5" s="1"/>
  <c r="G18" i="5"/>
  <c r="K18" i="5" s="1"/>
  <c r="G17" i="5"/>
  <c r="K17" i="5" s="1"/>
  <c r="G26" i="5"/>
  <c r="K26" i="5" s="1"/>
  <c r="G25" i="5"/>
  <c r="K25" i="5" s="1"/>
  <c r="G24" i="5"/>
  <c r="K24" i="5" s="1"/>
  <c r="G23" i="5"/>
  <c r="K23" i="5" s="1"/>
  <c r="G22" i="5"/>
  <c r="K22" i="5" s="1"/>
  <c r="G32" i="5"/>
  <c r="K32" i="5" s="1"/>
  <c r="G31" i="5"/>
  <c r="K31" i="5" s="1"/>
  <c r="G14" i="4"/>
  <c r="K14" i="4" s="1"/>
  <c r="G13" i="4"/>
  <c r="K13" i="4" s="1"/>
  <c r="G7" i="4"/>
  <c r="K7" i="4" s="1"/>
  <c r="G6" i="4"/>
  <c r="K6" i="4" s="1"/>
  <c r="G35" i="4"/>
  <c r="K35" i="4" s="1"/>
  <c r="G34" i="4"/>
  <c r="K34" i="4" s="1"/>
  <c r="G28" i="4"/>
  <c r="K28" i="4" s="1"/>
  <c r="G27" i="4"/>
  <c r="K27" i="4" s="1"/>
  <c r="G21" i="4"/>
  <c r="K21" i="4" s="1"/>
  <c r="G20" i="4"/>
  <c r="K20" i="4" s="1"/>
  <c r="G28" i="3"/>
  <c r="K28" i="3" s="1"/>
  <c r="G27" i="3"/>
  <c r="K27" i="3" s="1"/>
  <c r="G21" i="3"/>
  <c r="K21" i="3" s="1"/>
  <c r="G20" i="3"/>
  <c r="K20" i="3" s="1"/>
  <c r="G14" i="3"/>
  <c r="K14" i="3" s="1"/>
  <c r="G13" i="3"/>
  <c r="K13" i="3" s="1"/>
  <c r="G7" i="3"/>
  <c r="K7" i="3" s="1"/>
  <c r="G6" i="3"/>
  <c r="K6" i="3" s="1"/>
  <c r="G31" i="2"/>
  <c r="K31" i="2" s="1"/>
  <c r="G30" i="2"/>
  <c r="K30" i="2" s="1"/>
  <c r="G25" i="2"/>
  <c r="K25" i="2" s="1"/>
  <c r="G24" i="2"/>
  <c r="K24" i="2" s="1"/>
  <c r="G23" i="2"/>
  <c r="K23" i="2" s="1"/>
  <c r="G17" i="2"/>
  <c r="K17" i="2" s="1"/>
  <c r="G16" i="2"/>
  <c r="K16" i="2" s="1"/>
  <c r="G11" i="2"/>
  <c r="K11" i="2" s="1"/>
  <c r="G6" i="2"/>
  <c r="K6" i="2" s="1"/>
  <c r="I36" i="13"/>
  <c r="H36" i="13"/>
  <c r="G36" i="13"/>
  <c r="J36" i="13" s="1"/>
  <c r="I35" i="13"/>
  <c r="H35" i="13"/>
  <c r="G35" i="13"/>
  <c r="J35" i="13" s="1"/>
  <c r="I34" i="13"/>
  <c r="H34" i="13"/>
  <c r="G34" i="13"/>
  <c r="J34" i="13" s="1"/>
  <c r="I29" i="13"/>
  <c r="H29" i="13"/>
  <c r="G29" i="13"/>
  <c r="J29" i="13" s="1"/>
  <c r="I28" i="13"/>
  <c r="H28" i="13"/>
  <c r="G28" i="13"/>
  <c r="J28" i="13" s="1"/>
  <c r="I27" i="13"/>
  <c r="H27" i="13"/>
  <c r="G27" i="13"/>
  <c r="J27" i="13" s="1"/>
  <c r="I24" i="13"/>
  <c r="H24" i="13"/>
  <c r="G24" i="13"/>
  <c r="J24" i="13" s="1"/>
  <c r="I23" i="13"/>
  <c r="H23" i="13"/>
  <c r="G23" i="13"/>
  <c r="J23" i="13" s="1"/>
  <c r="I22" i="13"/>
  <c r="H22" i="13"/>
  <c r="G22" i="13"/>
  <c r="J22" i="13" s="1"/>
  <c r="I21" i="13"/>
  <c r="H21" i="13"/>
  <c r="G21" i="13"/>
  <c r="J21" i="13" s="1"/>
  <c r="I20" i="13"/>
  <c r="J20" i="13" s="1"/>
  <c r="H20" i="13"/>
  <c r="G20" i="13"/>
  <c r="I17" i="13"/>
  <c r="H17" i="13"/>
  <c r="G17" i="13"/>
  <c r="J17" i="13" s="1"/>
  <c r="I16" i="13"/>
  <c r="H16" i="13"/>
  <c r="G16" i="13"/>
  <c r="J16" i="13" s="1"/>
  <c r="I15" i="13"/>
  <c r="H15" i="13"/>
  <c r="G15" i="13"/>
  <c r="J15" i="13" s="1"/>
  <c r="I14" i="13"/>
  <c r="H14" i="13"/>
  <c r="G14" i="13"/>
  <c r="J14" i="13" s="1"/>
  <c r="J10" i="13"/>
  <c r="I10" i="13"/>
  <c r="H10" i="13"/>
  <c r="G10" i="13"/>
  <c r="I9" i="13"/>
  <c r="H9" i="13"/>
  <c r="G9" i="13"/>
  <c r="J9" i="13" s="1"/>
  <c r="I8" i="13"/>
  <c r="H8" i="13"/>
  <c r="G8" i="13"/>
  <c r="J8" i="13" s="1"/>
  <c r="I7" i="13"/>
  <c r="H7" i="13"/>
  <c r="G7" i="13"/>
  <c r="J7" i="13" s="1"/>
  <c r="I6" i="13"/>
  <c r="J6" i="13" s="1"/>
  <c r="H6" i="13"/>
  <c r="G6" i="13"/>
  <c r="I33" i="12"/>
  <c r="H33" i="12"/>
  <c r="G33" i="12"/>
  <c r="J33" i="12" s="1"/>
  <c r="I32" i="12"/>
  <c r="H32" i="12"/>
  <c r="G32" i="12"/>
  <c r="J32" i="12" s="1"/>
  <c r="I31" i="12"/>
  <c r="H31" i="12"/>
  <c r="G31" i="12"/>
  <c r="J31" i="12" s="1"/>
  <c r="I30" i="12"/>
  <c r="H30" i="12"/>
  <c r="G30" i="12"/>
  <c r="J30" i="12" s="1"/>
  <c r="I29" i="12"/>
  <c r="J29" i="12" s="1"/>
  <c r="H29" i="12"/>
  <c r="G29" i="12"/>
  <c r="I26" i="12"/>
  <c r="H26" i="12"/>
  <c r="G26" i="12"/>
  <c r="J26" i="12" s="1"/>
  <c r="I25" i="12"/>
  <c r="H25" i="12"/>
  <c r="G25" i="12"/>
  <c r="J25" i="12" s="1"/>
  <c r="I24" i="12"/>
  <c r="H24" i="12"/>
  <c r="G24" i="12"/>
  <c r="J24" i="12" s="1"/>
  <c r="I23" i="12"/>
  <c r="H23" i="12"/>
  <c r="G23" i="12"/>
  <c r="J23" i="12" s="1"/>
  <c r="I22" i="12"/>
  <c r="J22" i="12" s="1"/>
  <c r="H22" i="12"/>
  <c r="G22" i="12"/>
  <c r="I19" i="12"/>
  <c r="H19" i="12"/>
  <c r="G19" i="12"/>
  <c r="J19" i="12" s="1"/>
  <c r="I18" i="12"/>
  <c r="H18" i="12"/>
  <c r="G18" i="12"/>
  <c r="J18" i="12" s="1"/>
  <c r="I17" i="12"/>
  <c r="H17" i="12"/>
  <c r="G17" i="12"/>
  <c r="J17" i="12" s="1"/>
  <c r="I16" i="12"/>
  <c r="H16" i="12"/>
  <c r="G16" i="12"/>
  <c r="J16" i="12" s="1"/>
  <c r="I15" i="12"/>
  <c r="J15" i="12" s="1"/>
  <c r="H15" i="12"/>
  <c r="G15" i="12"/>
  <c r="I12" i="12"/>
  <c r="H12" i="12"/>
  <c r="G12" i="12"/>
  <c r="J12" i="12" s="1"/>
  <c r="J11" i="12"/>
  <c r="I11" i="12"/>
  <c r="H11" i="12"/>
  <c r="G11" i="12"/>
  <c r="J10" i="12"/>
  <c r="I10" i="12"/>
  <c r="H10" i="12"/>
  <c r="G10" i="12"/>
  <c r="I9" i="12"/>
  <c r="H9" i="12"/>
  <c r="G9" i="12"/>
  <c r="J9" i="12" s="1"/>
  <c r="I8" i="12"/>
  <c r="H8" i="12"/>
  <c r="G8" i="12"/>
  <c r="I36" i="11"/>
  <c r="H36" i="11"/>
  <c r="G36" i="11"/>
  <c r="J36" i="11" s="1"/>
  <c r="I35" i="11"/>
  <c r="H35" i="11"/>
  <c r="G35" i="11"/>
  <c r="J35" i="11" s="1"/>
  <c r="I34" i="11"/>
  <c r="H34" i="11"/>
  <c r="G34" i="11"/>
  <c r="J34" i="11" s="1"/>
  <c r="I33" i="11"/>
  <c r="H33" i="11"/>
  <c r="G33" i="11"/>
  <c r="J33" i="11" s="1"/>
  <c r="J32" i="11"/>
  <c r="I32" i="11"/>
  <c r="H32" i="11"/>
  <c r="G32" i="11"/>
  <c r="I29" i="11"/>
  <c r="H29" i="11"/>
  <c r="G29" i="11"/>
  <c r="J29" i="11" s="1"/>
  <c r="I28" i="11"/>
  <c r="H28" i="11"/>
  <c r="G28" i="11"/>
  <c r="J28" i="11" s="1"/>
  <c r="I27" i="11"/>
  <c r="H27" i="11"/>
  <c r="G27" i="11"/>
  <c r="J27" i="11" s="1"/>
  <c r="I26" i="11"/>
  <c r="H26" i="11"/>
  <c r="G26" i="11"/>
  <c r="J26" i="11" s="1"/>
  <c r="I25" i="11"/>
  <c r="J25" i="11" s="1"/>
  <c r="H25" i="11"/>
  <c r="G25" i="11"/>
  <c r="I22" i="11"/>
  <c r="H22" i="11"/>
  <c r="G22" i="11"/>
  <c r="J22" i="11" s="1"/>
  <c r="I21" i="11"/>
  <c r="H21" i="11"/>
  <c r="G21" i="11"/>
  <c r="J21" i="11" s="1"/>
  <c r="I20" i="11"/>
  <c r="H20" i="11"/>
  <c r="G20" i="11"/>
  <c r="J20" i="11" s="1"/>
  <c r="I19" i="11"/>
  <c r="H19" i="11"/>
  <c r="G19" i="11"/>
  <c r="J19" i="11" s="1"/>
  <c r="I18" i="11"/>
  <c r="J18" i="11" s="1"/>
  <c r="H18" i="11"/>
  <c r="G18" i="11"/>
  <c r="J15" i="11"/>
  <c r="I15" i="11"/>
  <c r="H15" i="11"/>
  <c r="G15" i="11"/>
  <c r="I14" i="11"/>
  <c r="H14" i="11"/>
  <c r="G14" i="11"/>
  <c r="J14" i="11" s="1"/>
  <c r="I13" i="11"/>
  <c r="H13" i="11"/>
  <c r="G13" i="11"/>
  <c r="J13" i="11" s="1"/>
  <c r="J12" i="11"/>
  <c r="I12" i="11"/>
  <c r="H12" i="11"/>
  <c r="G12" i="11"/>
  <c r="I11" i="11"/>
  <c r="J11" i="11" s="1"/>
  <c r="H11" i="11"/>
  <c r="G11" i="11"/>
  <c r="I8" i="11"/>
  <c r="H8" i="11"/>
  <c r="G8" i="11"/>
  <c r="J8" i="11" s="1"/>
  <c r="I7" i="11"/>
  <c r="H7" i="11"/>
  <c r="G7" i="11"/>
  <c r="J7" i="11" s="1"/>
  <c r="I6" i="11"/>
  <c r="H6" i="11"/>
  <c r="G6" i="11"/>
  <c r="J6" i="11" s="1"/>
  <c r="J35" i="10"/>
  <c r="I35" i="10"/>
  <c r="H35" i="10"/>
  <c r="G35" i="10"/>
  <c r="I34" i="10"/>
  <c r="H34" i="10"/>
  <c r="G34" i="10"/>
  <c r="J34" i="10" s="1"/>
  <c r="I31" i="10"/>
  <c r="H31" i="10"/>
  <c r="G31" i="10"/>
  <c r="J31" i="10" s="1"/>
  <c r="I30" i="10"/>
  <c r="H30" i="10"/>
  <c r="G30" i="10"/>
  <c r="J30" i="10" s="1"/>
  <c r="I29" i="10"/>
  <c r="H29" i="10"/>
  <c r="G29" i="10"/>
  <c r="J29" i="10" s="1"/>
  <c r="I28" i="10"/>
  <c r="J28" i="10" s="1"/>
  <c r="H28" i="10"/>
  <c r="G28" i="10"/>
  <c r="I27" i="10"/>
  <c r="J27" i="10" s="1"/>
  <c r="H27" i="10"/>
  <c r="G27" i="10"/>
  <c r="I24" i="10"/>
  <c r="H24" i="10"/>
  <c r="G24" i="10"/>
  <c r="J24" i="10" s="1"/>
  <c r="I23" i="10"/>
  <c r="H23" i="10"/>
  <c r="G23" i="10"/>
  <c r="J23" i="10" s="1"/>
  <c r="I22" i="10"/>
  <c r="H22" i="10"/>
  <c r="G22" i="10"/>
  <c r="J22" i="10" s="1"/>
  <c r="I21" i="10"/>
  <c r="J21" i="10" s="1"/>
  <c r="H21" i="10"/>
  <c r="G21" i="10"/>
  <c r="I20" i="10"/>
  <c r="J20" i="10" s="1"/>
  <c r="H20" i="10"/>
  <c r="G20" i="10"/>
  <c r="J17" i="10"/>
  <c r="I17" i="10"/>
  <c r="H17" i="10"/>
  <c r="G17" i="10"/>
  <c r="I16" i="10"/>
  <c r="H16" i="10"/>
  <c r="G16" i="10"/>
  <c r="J16" i="10" s="1"/>
  <c r="I15" i="10"/>
  <c r="H15" i="10"/>
  <c r="G15" i="10"/>
  <c r="J15" i="10" s="1"/>
  <c r="I14" i="10"/>
  <c r="H14" i="10"/>
  <c r="G14" i="10"/>
  <c r="J14" i="10" s="1"/>
  <c r="I13" i="10"/>
  <c r="J13" i="10" s="1"/>
  <c r="H13" i="10"/>
  <c r="G13" i="10"/>
  <c r="I10" i="10"/>
  <c r="H10" i="10"/>
  <c r="G10" i="10"/>
  <c r="J10" i="10" s="1"/>
  <c r="I9" i="10"/>
  <c r="H9" i="10"/>
  <c r="G9" i="10"/>
  <c r="J9" i="10" s="1"/>
  <c r="I8" i="10"/>
  <c r="H8" i="10"/>
  <c r="G8" i="10"/>
  <c r="J8" i="10" s="1"/>
  <c r="I7" i="10"/>
  <c r="H7" i="10"/>
  <c r="G7" i="10"/>
  <c r="J7" i="10" s="1"/>
  <c r="I6" i="10"/>
  <c r="H6" i="10"/>
  <c r="G6" i="10"/>
  <c r="I34" i="9"/>
  <c r="H34" i="9"/>
  <c r="G34" i="9"/>
  <c r="J34" i="9" s="1"/>
  <c r="I33" i="9"/>
  <c r="H33" i="9"/>
  <c r="G33" i="9"/>
  <c r="J33" i="9" s="1"/>
  <c r="I32" i="9"/>
  <c r="H32" i="9"/>
  <c r="G32" i="9"/>
  <c r="J32" i="9" s="1"/>
  <c r="J31" i="9"/>
  <c r="I31" i="9"/>
  <c r="H31" i="9"/>
  <c r="G31" i="9"/>
  <c r="I30" i="9"/>
  <c r="J30" i="9" s="1"/>
  <c r="H30" i="9"/>
  <c r="G30" i="9"/>
  <c r="I27" i="9"/>
  <c r="H27" i="9"/>
  <c r="G27" i="9"/>
  <c r="J27" i="9" s="1"/>
  <c r="I26" i="9"/>
  <c r="H26" i="9"/>
  <c r="G26" i="9"/>
  <c r="J26" i="9" s="1"/>
  <c r="I25" i="9"/>
  <c r="H25" i="9"/>
  <c r="G25" i="9"/>
  <c r="J25" i="9" s="1"/>
  <c r="I24" i="9"/>
  <c r="H24" i="9"/>
  <c r="G24" i="9"/>
  <c r="J24" i="9" s="1"/>
  <c r="I23" i="9"/>
  <c r="J23" i="9" s="1"/>
  <c r="H23" i="9"/>
  <c r="G23" i="9"/>
  <c r="I19" i="9"/>
  <c r="H19" i="9"/>
  <c r="G19" i="9"/>
  <c r="J19" i="9" s="1"/>
  <c r="I18" i="9"/>
  <c r="H18" i="9"/>
  <c r="G18" i="9"/>
  <c r="J18" i="9" s="1"/>
  <c r="I17" i="9"/>
  <c r="H17" i="9"/>
  <c r="G17" i="9"/>
  <c r="J17" i="9" s="1"/>
  <c r="I16" i="9"/>
  <c r="H16" i="9"/>
  <c r="G16" i="9"/>
  <c r="J16" i="9" s="1"/>
  <c r="I13" i="9"/>
  <c r="H13" i="9"/>
  <c r="G13" i="9"/>
  <c r="J13" i="9" s="1"/>
  <c r="J12" i="9"/>
  <c r="I12" i="9"/>
  <c r="H12" i="9"/>
  <c r="G12" i="9"/>
  <c r="I11" i="9"/>
  <c r="H11" i="9"/>
  <c r="G11" i="9"/>
  <c r="J11" i="9" s="1"/>
  <c r="I10" i="9"/>
  <c r="J10" i="9" s="1"/>
  <c r="H10" i="9"/>
  <c r="G10" i="9"/>
  <c r="I9" i="9"/>
  <c r="J9" i="9" s="1"/>
  <c r="H9" i="9"/>
  <c r="G9" i="9"/>
  <c r="I6" i="9"/>
  <c r="H6" i="9"/>
  <c r="G6" i="9"/>
  <c r="J6" i="9" s="1"/>
  <c r="I36" i="8"/>
  <c r="H36" i="8"/>
  <c r="G36" i="8"/>
  <c r="J36" i="8" s="1"/>
  <c r="I35" i="8"/>
  <c r="H35" i="8"/>
  <c r="G35" i="8"/>
  <c r="J35" i="8" s="1"/>
  <c r="I34" i="8"/>
  <c r="H34" i="8"/>
  <c r="G34" i="8"/>
  <c r="J34" i="8" s="1"/>
  <c r="I33" i="8"/>
  <c r="H33" i="8"/>
  <c r="G33" i="8"/>
  <c r="J33" i="8" s="1"/>
  <c r="I30" i="8"/>
  <c r="H30" i="8"/>
  <c r="G30" i="8"/>
  <c r="J30" i="8" s="1"/>
  <c r="I29" i="8"/>
  <c r="H29" i="8"/>
  <c r="G29" i="8"/>
  <c r="J29" i="8" s="1"/>
  <c r="I28" i="8"/>
  <c r="H28" i="8"/>
  <c r="G28" i="8"/>
  <c r="J28" i="8" s="1"/>
  <c r="I27" i="8"/>
  <c r="H27" i="8"/>
  <c r="G27" i="8"/>
  <c r="J27" i="8" s="1"/>
  <c r="I26" i="8"/>
  <c r="J26" i="8" s="1"/>
  <c r="H26" i="8"/>
  <c r="G26" i="8"/>
  <c r="I23" i="8"/>
  <c r="H23" i="8"/>
  <c r="G23" i="8"/>
  <c r="J23" i="8" s="1"/>
  <c r="I22" i="8"/>
  <c r="J22" i="8" s="1"/>
  <c r="H22" i="8"/>
  <c r="G22" i="8"/>
  <c r="I21" i="8"/>
  <c r="H21" i="8"/>
  <c r="G21" i="8"/>
  <c r="J21" i="8" s="1"/>
  <c r="I20" i="8"/>
  <c r="H20" i="8"/>
  <c r="G20" i="8"/>
  <c r="J20" i="8" s="1"/>
  <c r="I19" i="8"/>
  <c r="J19" i="8" s="1"/>
  <c r="H19" i="8"/>
  <c r="G19" i="8"/>
  <c r="I16" i="8"/>
  <c r="H16" i="8"/>
  <c r="G16" i="8"/>
  <c r="J16" i="8" s="1"/>
  <c r="I15" i="8"/>
  <c r="H15" i="8"/>
  <c r="G15" i="8"/>
  <c r="J15" i="8" s="1"/>
  <c r="I14" i="8"/>
  <c r="H14" i="8"/>
  <c r="G14" i="8"/>
  <c r="J14" i="8" s="1"/>
  <c r="I13" i="8"/>
  <c r="H13" i="8"/>
  <c r="G13" i="8"/>
  <c r="J13" i="8" s="1"/>
  <c r="I12" i="8"/>
  <c r="J12" i="8" s="1"/>
  <c r="H12" i="8"/>
  <c r="G12" i="8"/>
  <c r="I9" i="8"/>
  <c r="H9" i="8"/>
  <c r="G9" i="8"/>
  <c r="J9" i="8" s="1"/>
  <c r="I8" i="8"/>
  <c r="H8" i="8"/>
  <c r="G8" i="8"/>
  <c r="J8" i="8" s="1"/>
  <c r="I7" i="8"/>
  <c r="H7" i="8"/>
  <c r="G7" i="8"/>
  <c r="J7" i="8" s="1"/>
  <c r="J6" i="8"/>
  <c r="I6" i="8"/>
  <c r="H6" i="8"/>
  <c r="G6" i="8"/>
  <c r="J35" i="7"/>
  <c r="I35" i="7"/>
  <c r="H35" i="7"/>
  <c r="G35" i="7"/>
  <c r="I32" i="7"/>
  <c r="H32" i="7"/>
  <c r="G32" i="7"/>
  <c r="J32" i="7" s="1"/>
  <c r="I31" i="7"/>
  <c r="H31" i="7"/>
  <c r="G31" i="7"/>
  <c r="J31" i="7" s="1"/>
  <c r="I30" i="7"/>
  <c r="H30" i="7"/>
  <c r="G30" i="7"/>
  <c r="J30" i="7" s="1"/>
  <c r="I29" i="7"/>
  <c r="H29" i="7"/>
  <c r="G29" i="7"/>
  <c r="J29" i="7" s="1"/>
  <c r="I28" i="7"/>
  <c r="J28" i="7" s="1"/>
  <c r="H28" i="7"/>
  <c r="G28" i="7"/>
  <c r="I25" i="7"/>
  <c r="H25" i="7"/>
  <c r="G25" i="7"/>
  <c r="J25" i="7" s="1"/>
  <c r="I24" i="7"/>
  <c r="H24" i="7"/>
  <c r="G24" i="7"/>
  <c r="J24" i="7" s="1"/>
  <c r="I23" i="7"/>
  <c r="H23" i="7"/>
  <c r="G23" i="7"/>
  <c r="J23" i="7" s="1"/>
  <c r="J22" i="7"/>
  <c r="I22" i="7"/>
  <c r="H22" i="7"/>
  <c r="G22" i="7"/>
  <c r="I21" i="7"/>
  <c r="J21" i="7" s="1"/>
  <c r="H21" i="7"/>
  <c r="G21" i="7"/>
  <c r="I18" i="7"/>
  <c r="H18" i="7"/>
  <c r="G18" i="7"/>
  <c r="J18" i="7" s="1"/>
  <c r="I17" i="7"/>
  <c r="H17" i="7"/>
  <c r="G17" i="7"/>
  <c r="J17" i="7" s="1"/>
  <c r="I16" i="7"/>
  <c r="H16" i="7"/>
  <c r="G16" i="7"/>
  <c r="J16" i="7" s="1"/>
  <c r="I15" i="7"/>
  <c r="H15" i="7"/>
  <c r="G15" i="7"/>
  <c r="J15" i="7" s="1"/>
  <c r="I14" i="7"/>
  <c r="J14" i="7" s="1"/>
  <c r="H14" i="7"/>
  <c r="G14" i="7"/>
  <c r="I11" i="7"/>
  <c r="H11" i="7"/>
  <c r="G11" i="7"/>
  <c r="J11" i="7" s="1"/>
  <c r="I10" i="7"/>
  <c r="H10" i="7"/>
  <c r="G10" i="7"/>
  <c r="J10" i="7" s="1"/>
  <c r="I9" i="7"/>
  <c r="H9" i="7"/>
  <c r="G9" i="7"/>
  <c r="J9" i="7" s="1"/>
  <c r="I8" i="7"/>
  <c r="H8" i="7"/>
  <c r="G8" i="7"/>
  <c r="J8" i="7" s="1"/>
  <c r="I7" i="7"/>
  <c r="H7" i="7"/>
  <c r="G7" i="7"/>
  <c r="I35" i="6"/>
  <c r="H35" i="6"/>
  <c r="G35" i="6"/>
  <c r="J35" i="6" s="1"/>
  <c r="I34" i="6"/>
  <c r="H34" i="6"/>
  <c r="G34" i="6"/>
  <c r="J34" i="6" s="1"/>
  <c r="I33" i="6"/>
  <c r="H33" i="6"/>
  <c r="G33" i="6"/>
  <c r="J33" i="6" s="1"/>
  <c r="I32" i="6"/>
  <c r="H32" i="6"/>
  <c r="G32" i="6"/>
  <c r="J32" i="6" s="1"/>
  <c r="I31" i="6"/>
  <c r="J31" i="6" s="1"/>
  <c r="H31" i="6"/>
  <c r="G31" i="6"/>
  <c r="I28" i="6"/>
  <c r="H28" i="6"/>
  <c r="G28" i="6"/>
  <c r="J28" i="6" s="1"/>
  <c r="I27" i="6"/>
  <c r="H27" i="6"/>
  <c r="G27" i="6"/>
  <c r="J27" i="6" s="1"/>
  <c r="I26" i="6"/>
  <c r="H26" i="6"/>
  <c r="G26" i="6"/>
  <c r="J26" i="6" s="1"/>
  <c r="I25" i="6"/>
  <c r="H25" i="6"/>
  <c r="G25" i="6"/>
  <c r="J25" i="6" s="1"/>
  <c r="I24" i="6"/>
  <c r="J24" i="6" s="1"/>
  <c r="H24" i="6"/>
  <c r="G24" i="6"/>
  <c r="I21" i="6"/>
  <c r="H21" i="6"/>
  <c r="G21" i="6"/>
  <c r="J21" i="6" s="1"/>
  <c r="I20" i="6"/>
  <c r="H20" i="6"/>
  <c r="G20" i="6"/>
  <c r="J20" i="6" s="1"/>
  <c r="I19" i="6"/>
  <c r="H19" i="6"/>
  <c r="G19" i="6"/>
  <c r="J19" i="6" s="1"/>
  <c r="I18" i="6"/>
  <c r="H18" i="6"/>
  <c r="G18" i="6"/>
  <c r="J18" i="6" s="1"/>
  <c r="I17" i="6"/>
  <c r="J17" i="6" s="1"/>
  <c r="H17" i="6"/>
  <c r="G17" i="6"/>
  <c r="J14" i="6"/>
  <c r="I14" i="6"/>
  <c r="H14" i="6"/>
  <c r="G14" i="6"/>
  <c r="I13" i="6"/>
  <c r="H13" i="6"/>
  <c r="G13" i="6"/>
  <c r="J13" i="6" s="1"/>
  <c r="J12" i="6"/>
  <c r="I12" i="6"/>
  <c r="H12" i="6"/>
  <c r="G12" i="6"/>
  <c r="I11" i="6"/>
  <c r="H11" i="6"/>
  <c r="J11" i="6" s="1"/>
  <c r="G11" i="6"/>
  <c r="I10" i="6"/>
  <c r="H10" i="6"/>
  <c r="G10" i="6"/>
  <c r="I7" i="6"/>
  <c r="H7" i="6"/>
  <c r="G7" i="6"/>
  <c r="J7" i="6" s="1"/>
  <c r="J35" i="5"/>
  <c r="I35" i="5"/>
  <c r="H35" i="5"/>
  <c r="G35" i="5"/>
  <c r="I34" i="5"/>
  <c r="H34" i="5"/>
  <c r="G34" i="5"/>
  <c r="J34" i="5" s="1"/>
  <c r="I33" i="5"/>
  <c r="J33" i="5" s="1"/>
  <c r="H33" i="5"/>
  <c r="G33" i="5"/>
  <c r="I30" i="5"/>
  <c r="H30" i="5"/>
  <c r="G30" i="5"/>
  <c r="J30" i="5" s="1"/>
  <c r="I29" i="5"/>
  <c r="H29" i="5"/>
  <c r="G29" i="5"/>
  <c r="J29" i="5" s="1"/>
  <c r="I28" i="5"/>
  <c r="H28" i="5"/>
  <c r="G28" i="5"/>
  <c r="J28" i="5" s="1"/>
  <c r="I27" i="5"/>
  <c r="H27" i="5"/>
  <c r="G27" i="5"/>
  <c r="J27" i="5" s="1"/>
  <c r="I21" i="5"/>
  <c r="H21" i="5"/>
  <c r="G21" i="5"/>
  <c r="J21" i="5" s="1"/>
  <c r="I20" i="5"/>
  <c r="H20" i="5"/>
  <c r="G20" i="5"/>
  <c r="J20" i="5" s="1"/>
  <c r="I19" i="5"/>
  <c r="H19" i="5"/>
  <c r="G19" i="5"/>
  <c r="J19" i="5" s="1"/>
  <c r="I16" i="5"/>
  <c r="H16" i="5"/>
  <c r="G16" i="5"/>
  <c r="J16" i="5" s="1"/>
  <c r="I15" i="5"/>
  <c r="H15" i="5"/>
  <c r="G15" i="5"/>
  <c r="J15" i="5" s="1"/>
  <c r="I14" i="5"/>
  <c r="H14" i="5"/>
  <c r="G14" i="5"/>
  <c r="J14" i="5" s="1"/>
  <c r="I13" i="5"/>
  <c r="J13" i="5" s="1"/>
  <c r="H13" i="5"/>
  <c r="G13" i="5"/>
  <c r="I12" i="5"/>
  <c r="J12" i="5" s="1"/>
  <c r="H12" i="5"/>
  <c r="G12" i="5"/>
  <c r="I9" i="5"/>
  <c r="H9" i="5"/>
  <c r="G9" i="5"/>
  <c r="J9" i="5" s="1"/>
  <c r="I8" i="5"/>
  <c r="H8" i="5"/>
  <c r="G8" i="5"/>
  <c r="J8" i="5" s="1"/>
  <c r="I7" i="5"/>
  <c r="H7" i="5"/>
  <c r="G7" i="5"/>
  <c r="J7" i="5" s="1"/>
  <c r="I6" i="5"/>
  <c r="H6" i="5"/>
  <c r="G6" i="5"/>
  <c r="J6" i="5" s="1"/>
  <c r="I36" i="4"/>
  <c r="H36" i="4"/>
  <c r="G36" i="4"/>
  <c r="J36" i="4" s="1"/>
  <c r="I33" i="4"/>
  <c r="H33" i="4"/>
  <c r="G33" i="4"/>
  <c r="J33" i="4" s="1"/>
  <c r="I32" i="4"/>
  <c r="H32" i="4"/>
  <c r="G32" i="4"/>
  <c r="J32" i="4" s="1"/>
  <c r="I31" i="4"/>
  <c r="H31" i="4"/>
  <c r="G31" i="4"/>
  <c r="J31" i="4" s="1"/>
  <c r="I30" i="4"/>
  <c r="H30" i="4"/>
  <c r="G30" i="4"/>
  <c r="J30" i="4" s="1"/>
  <c r="I29" i="4"/>
  <c r="J29" i="4" s="1"/>
  <c r="H29" i="4"/>
  <c r="G29" i="4"/>
  <c r="I26" i="4"/>
  <c r="H26" i="4"/>
  <c r="G26" i="4"/>
  <c r="J26" i="4" s="1"/>
  <c r="I25" i="4"/>
  <c r="H25" i="4"/>
  <c r="G25" i="4"/>
  <c r="J25" i="4" s="1"/>
  <c r="I24" i="4"/>
  <c r="H24" i="4"/>
  <c r="G24" i="4"/>
  <c r="J24" i="4" s="1"/>
  <c r="I23" i="4"/>
  <c r="H23" i="4"/>
  <c r="G23" i="4"/>
  <c r="J23" i="4" s="1"/>
  <c r="I22" i="4"/>
  <c r="J22" i="4" s="1"/>
  <c r="H22" i="4"/>
  <c r="G22" i="4"/>
  <c r="I19" i="4"/>
  <c r="H19" i="4"/>
  <c r="G19" i="4"/>
  <c r="J19" i="4" s="1"/>
  <c r="I18" i="4"/>
  <c r="H18" i="4"/>
  <c r="G18" i="4"/>
  <c r="J18" i="4" s="1"/>
  <c r="I17" i="4"/>
  <c r="H17" i="4"/>
  <c r="G17" i="4"/>
  <c r="J17" i="4" s="1"/>
  <c r="I16" i="4"/>
  <c r="H16" i="4"/>
  <c r="G16" i="4"/>
  <c r="J16" i="4" s="1"/>
  <c r="I15" i="4"/>
  <c r="J15" i="4" s="1"/>
  <c r="H15" i="4"/>
  <c r="G15" i="4"/>
  <c r="I12" i="4"/>
  <c r="H12" i="4"/>
  <c r="G12" i="4"/>
  <c r="J12" i="4" s="1"/>
  <c r="J11" i="4"/>
  <c r="I11" i="4"/>
  <c r="H11" i="4"/>
  <c r="G11" i="4"/>
  <c r="I10" i="4"/>
  <c r="H10" i="4"/>
  <c r="G10" i="4"/>
  <c r="J10" i="4" s="1"/>
  <c r="I9" i="4"/>
  <c r="H9" i="4"/>
  <c r="G9" i="4"/>
  <c r="J9" i="4" s="1"/>
  <c r="I8" i="4"/>
  <c r="H8" i="4"/>
  <c r="G8" i="4"/>
  <c r="I33" i="3"/>
  <c r="H33" i="3"/>
  <c r="G33" i="3"/>
  <c r="J33" i="3" s="1"/>
  <c r="I32" i="3"/>
  <c r="H32" i="3"/>
  <c r="G32" i="3"/>
  <c r="J32" i="3" s="1"/>
  <c r="I31" i="3"/>
  <c r="H31" i="3"/>
  <c r="G31" i="3"/>
  <c r="J31" i="3" s="1"/>
  <c r="I30" i="3"/>
  <c r="H30" i="3"/>
  <c r="G30" i="3"/>
  <c r="J30" i="3" s="1"/>
  <c r="I29" i="3"/>
  <c r="J29" i="3" s="1"/>
  <c r="H29" i="3"/>
  <c r="G29" i="3"/>
  <c r="I26" i="3"/>
  <c r="H26" i="3"/>
  <c r="G26" i="3"/>
  <c r="J26" i="3" s="1"/>
  <c r="I25" i="3"/>
  <c r="H25" i="3"/>
  <c r="G25" i="3"/>
  <c r="J25" i="3" s="1"/>
  <c r="I24" i="3"/>
  <c r="H24" i="3"/>
  <c r="G24" i="3"/>
  <c r="J24" i="3" s="1"/>
  <c r="I23" i="3"/>
  <c r="J23" i="3" s="1"/>
  <c r="H23" i="3"/>
  <c r="G23" i="3"/>
  <c r="I22" i="3"/>
  <c r="J22" i="3" s="1"/>
  <c r="H22" i="3"/>
  <c r="G22" i="3"/>
  <c r="I19" i="3"/>
  <c r="H19" i="3"/>
  <c r="G19" i="3"/>
  <c r="J19" i="3" s="1"/>
  <c r="I18" i="3"/>
  <c r="H18" i="3"/>
  <c r="G18" i="3"/>
  <c r="J18" i="3" s="1"/>
  <c r="I17" i="3"/>
  <c r="H17" i="3"/>
  <c r="G17" i="3"/>
  <c r="J17" i="3" s="1"/>
  <c r="I16" i="3"/>
  <c r="H16" i="3"/>
  <c r="G16" i="3"/>
  <c r="J16" i="3" s="1"/>
  <c r="I15" i="3"/>
  <c r="H15" i="3"/>
  <c r="G15" i="3"/>
  <c r="I12" i="3"/>
  <c r="H12" i="3"/>
  <c r="G12" i="3"/>
  <c r="J12" i="3" s="1"/>
  <c r="I11" i="3"/>
  <c r="H11" i="3"/>
  <c r="G11" i="3"/>
  <c r="J11" i="3" s="1"/>
  <c r="I10" i="3"/>
  <c r="H10" i="3"/>
  <c r="G10" i="3"/>
  <c r="J10" i="3" s="1"/>
  <c r="I9" i="3"/>
  <c r="H9" i="3"/>
  <c r="G9" i="3"/>
  <c r="J9" i="3" s="1"/>
  <c r="I8" i="3"/>
  <c r="H8" i="3"/>
  <c r="G8" i="3"/>
  <c r="I36" i="2"/>
  <c r="H36" i="2"/>
  <c r="G36" i="2"/>
  <c r="I35" i="2"/>
  <c r="H35" i="2"/>
  <c r="G35" i="2"/>
  <c r="J35" i="2" s="1"/>
  <c r="I34" i="2"/>
  <c r="H34" i="2"/>
  <c r="G34" i="2"/>
  <c r="I33" i="2"/>
  <c r="H33" i="2"/>
  <c r="G33" i="2"/>
  <c r="I32" i="2"/>
  <c r="H32" i="2"/>
  <c r="G32" i="2"/>
  <c r="I29" i="2"/>
  <c r="H29" i="2"/>
  <c r="G29" i="2"/>
  <c r="I28" i="2"/>
  <c r="H28" i="2"/>
  <c r="G28" i="2"/>
  <c r="J28" i="2" s="1"/>
  <c r="I27" i="2"/>
  <c r="H27" i="2"/>
  <c r="G27" i="2"/>
  <c r="J27" i="2" s="1"/>
  <c r="I26" i="2"/>
  <c r="H26" i="2"/>
  <c r="G26" i="2"/>
  <c r="I22" i="2"/>
  <c r="H22" i="2"/>
  <c r="G22" i="2"/>
  <c r="J22" i="2" s="1"/>
  <c r="I21" i="2"/>
  <c r="H21" i="2"/>
  <c r="G21" i="2"/>
  <c r="I20" i="2"/>
  <c r="H20" i="2"/>
  <c r="G20" i="2"/>
  <c r="I19" i="2"/>
  <c r="H19" i="2"/>
  <c r="G19" i="2"/>
  <c r="I18" i="2"/>
  <c r="H18" i="2"/>
  <c r="G18" i="2"/>
  <c r="J18" i="2" s="1"/>
  <c r="I15" i="2"/>
  <c r="H15" i="2"/>
  <c r="G15" i="2"/>
  <c r="I14" i="2"/>
  <c r="H14" i="2"/>
  <c r="G14" i="2"/>
  <c r="J14" i="2" s="1"/>
  <c r="I13" i="2"/>
  <c r="H13" i="2"/>
  <c r="G13" i="2"/>
  <c r="I12" i="2"/>
  <c r="H12" i="2"/>
  <c r="G12" i="2"/>
  <c r="G10" i="2"/>
  <c r="K10" i="2" s="1"/>
  <c r="G9" i="2"/>
  <c r="K9" i="2" s="1"/>
  <c r="I8" i="2"/>
  <c r="H8" i="2"/>
  <c r="G8" i="2"/>
  <c r="I7" i="2"/>
  <c r="H7" i="2"/>
  <c r="G7" i="2"/>
  <c r="P5" i="7" l="1"/>
  <c r="P5" i="9"/>
  <c r="P5" i="11"/>
  <c r="P5" i="12"/>
  <c r="P5" i="4"/>
  <c r="J21" i="2"/>
  <c r="J12" i="2"/>
  <c r="J34" i="2"/>
  <c r="J7" i="2"/>
  <c r="J8" i="2"/>
  <c r="J8" i="3"/>
  <c r="I37" i="13"/>
  <c r="H37" i="13"/>
  <c r="H36" i="12"/>
  <c r="I36" i="12"/>
  <c r="J8" i="12"/>
  <c r="H37" i="11"/>
  <c r="I37" i="11"/>
  <c r="I36" i="10"/>
  <c r="H36" i="10"/>
  <c r="J6" i="10"/>
  <c r="H37" i="9"/>
  <c r="I37" i="9"/>
  <c r="H37" i="8"/>
  <c r="I37" i="8"/>
  <c r="H36" i="7"/>
  <c r="I36" i="7"/>
  <c r="J7" i="7"/>
  <c r="H37" i="6"/>
  <c r="I37" i="6"/>
  <c r="J10" i="6"/>
  <c r="I37" i="5"/>
  <c r="H37" i="5"/>
  <c r="I38" i="4"/>
  <c r="H38" i="4"/>
  <c r="J8" i="4"/>
  <c r="I34" i="3"/>
  <c r="J15" i="3"/>
  <c r="H34" i="3"/>
  <c r="K36" i="7"/>
  <c r="J33" i="2"/>
  <c r="J29" i="2"/>
  <c r="J15" i="2"/>
  <c r="G37" i="2"/>
  <c r="H37" i="2"/>
  <c r="J20" i="2"/>
  <c r="J26" i="2"/>
  <c r="J32" i="2"/>
  <c r="I37" i="2"/>
  <c r="J13" i="2"/>
  <c r="J36" i="2"/>
  <c r="J19" i="2"/>
  <c r="K37" i="2"/>
  <c r="O3" i="2" s="1"/>
  <c r="O5" i="2" s="1"/>
  <c r="J37" i="13"/>
  <c r="G36" i="7"/>
  <c r="J36" i="10"/>
  <c r="J38" i="4"/>
  <c r="G38" i="4"/>
  <c r="K37" i="9"/>
  <c r="J37" i="9"/>
  <c r="G37" i="13"/>
  <c r="J36" i="12"/>
  <c r="G37" i="6"/>
  <c r="G36" i="10"/>
  <c r="G37" i="5"/>
  <c r="K37" i="13"/>
  <c r="G34" i="3"/>
  <c r="K37" i="8"/>
  <c r="K36" i="12"/>
  <c r="J37" i="11"/>
  <c r="G36" i="12"/>
  <c r="G37" i="11"/>
  <c r="G37" i="8"/>
  <c r="K37" i="11"/>
  <c r="G37" i="9"/>
  <c r="J37" i="8"/>
  <c r="K37" i="6"/>
  <c r="J37" i="5"/>
  <c r="J36" i="7"/>
  <c r="K38" i="4"/>
  <c r="J34" i="3"/>
  <c r="K37" i="5" l="1"/>
  <c r="J37" i="2"/>
  <c r="N3" i="2" s="1"/>
  <c r="N5" i="2" s="1"/>
  <c r="P5" i="2" s="1"/>
  <c r="J37" i="6"/>
  <c r="K36" i="10"/>
  <c r="K34" i="3"/>
</calcChain>
</file>

<file path=xl/sharedStrings.xml><?xml version="1.0" encoding="utf-8"?>
<sst xmlns="http://schemas.openxmlformats.org/spreadsheetml/2006/main" count="574" uniqueCount="35">
  <si>
    <t>TRABAJADOR</t>
  </si>
  <si>
    <t>MES</t>
  </si>
  <si>
    <t xml:space="preserve">FECHAS </t>
  </si>
  <si>
    <t>ENTRADA</t>
  </si>
  <si>
    <t xml:space="preserve">SALIDA </t>
  </si>
  <si>
    <t>SALIDA</t>
  </si>
  <si>
    <t>H.TRAB</t>
  </si>
  <si>
    <t>DESCONTAR</t>
  </si>
  <si>
    <t>H.LAB</t>
  </si>
  <si>
    <t>H. EXT</t>
  </si>
  <si>
    <t>H EXT Festivos</t>
  </si>
  <si>
    <t xml:space="preserve">OBSERVACIONES </t>
  </si>
  <si>
    <t>Vi.</t>
  </si>
  <si>
    <t>Sá.</t>
  </si>
  <si>
    <t>Do.</t>
  </si>
  <si>
    <t>Lu.</t>
  </si>
  <si>
    <t>Ma.</t>
  </si>
  <si>
    <t>Mi.</t>
  </si>
  <si>
    <t>Ju.</t>
  </si>
  <si>
    <t>H. EXT.</t>
  </si>
  <si>
    <t>H.S/D EXT Festivos</t>
  </si>
  <si>
    <t>total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</si>
  <si>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</si>
  <si>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</si>
  <si>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</si>
  <si>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</si>
  <si>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</si>
  <si>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</si>
  <si>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</si>
  <si>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</si>
  <si>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</si>
  <si>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</si>
  <si>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</si>
  <si>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</si>
  <si>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dietas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</si>
</sst>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_ ;[Red]\-#,##0.00\ "/>
    <numFmt numFmtId="165" formatCode="0.00_ ;[Red]\-0.00\ "/>
    <numFmt numFmtId="166" formatCode="#,##0.00\ &quot;€&quot;"/>
    <numFmt numFmtId="167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4"/>
    </font>
    <font>
      <u/>
      <sz val="11"/>
      <color theme="10"/>
      <name val="Calibri"/>
      <family val="2"/>
      <scheme val="minor"/>
    </font>
    <font>
      <u/>
      <sz val="11"/>
      <color theme="10"/>
      <name val="Comic Sans MS"/>
      <family val="4"/>
    </font>
    <font>
      <sz val="9"/>
      <name val="Comic Sans MS"/>
      <family val="4"/>
    </font>
    <font>
      <b/>
      <sz val="9"/>
      <name val="Comic Sans MS"/>
      <family val="4"/>
    </font>
    <font>
      <b/>
      <sz val="12"/>
      <name val="Comic Sans MS"/>
      <family val="4"/>
    </font>
    <font>
      <b/>
      <sz val="11"/>
      <name val="Comic Sans MS"/>
      <family val="4"/>
    </font>
    <font>
      <sz val="11"/>
      <name val="Comic Sans MS"/>
      <family val="4"/>
    </font>
    <font>
      <sz val="11"/>
      <color rgb="FFFF0000"/>
      <name val="Comic Sans MS"/>
      <family val="4"/>
    </font>
    <font>
      <sz val="9"/>
      <color rgb="FFFF0000"/>
      <name val="Comic Sans MS"/>
      <family val="4"/>
    </font>
    <font>
      <b/>
      <sz val="9"/>
      <color rgb="FFFF0000"/>
      <name val="Comic Sans MS"/>
      <family val="4"/>
    </font>
    <font>
      <sz val="11"/>
      <color rgb="FF7030A0"/>
      <name val="Comic Sans MS"/>
      <family val="4"/>
    </font>
    <font>
      <sz val="9"/>
      <color rgb="FF7030A0"/>
      <name val="Comic Sans MS"/>
      <family val="4"/>
    </font>
    <font>
      <sz val="10"/>
      <color theme="1"/>
      <name val="Comic Sans MS"/>
      <family val="4"/>
    </font>
    <font>
      <b/>
      <sz val="10"/>
      <name val="Comic Sans MS"/>
      <family val="4"/>
    </font>
    <font>
      <sz val="11"/>
      <color theme="1"/>
      <name val="Calibri"/>
      <family val="2"/>
      <scheme val="minor"/>
    </font>
    <font>
      <b/>
      <sz val="11"/>
      <color theme="1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9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14" fontId="8" fillId="0" borderId="0" xfId="0" applyNumberFormat="1" applyFont="1"/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6" fontId="4" fillId="0" borderId="0" xfId="0" applyNumberFormat="1" applyFont="1"/>
    <xf numFmtId="166" fontId="14" fillId="0" borderId="0" xfId="0" applyNumberFormat="1" applyFont="1"/>
    <xf numFmtId="0" fontId="5" fillId="0" borderId="0" xfId="0" applyFont="1" applyAlignment="1">
      <alignment horizontal="center"/>
    </xf>
    <xf numFmtId="164" fontId="10" fillId="4" borderId="2" xfId="0" applyNumberFormat="1" applyFont="1" applyFill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2" fontId="4" fillId="4" borderId="6" xfId="0" applyNumberFormat="1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14" fontId="9" fillId="3" borderId="7" xfId="0" applyNumberFormat="1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/>
    <xf numFmtId="0" fontId="5" fillId="0" borderId="13" xfId="0" applyFont="1" applyBorder="1"/>
    <xf numFmtId="0" fontId="15" fillId="0" borderId="14" xfId="0" applyFont="1" applyBorder="1" applyAlignment="1">
      <alignment horizontal="left"/>
    </xf>
    <xf numFmtId="164" fontId="4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165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center" vertical="center" wrapText="1"/>
    </xf>
    <xf numFmtId="167" fontId="10" fillId="4" borderId="2" xfId="0" applyNumberFormat="1" applyFont="1" applyFill="1" applyBorder="1" applyAlignment="1">
      <alignment horizontal="center" wrapText="1"/>
    </xf>
    <xf numFmtId="167" fontId="4" fillId="0" borderId="1" xfId="0" applyNumberFormat="1" applyFont="1" applyBorder="1" applyAlignment="1">
      <alignment horizontal="center" wrapText="1"/>
    </xf>
    <xf numFmtId="167" fontId="11" fillId="0" borderId="1" xfId="0" applyNumberFormat="1" applyFont="1" applyBorder="1" applyAlignment="1">
      <alignment horizontal="center" wrapText="1"/>
    </xf>
    <xf numFmtId="0" fontId="13" fillId="0" borderId="0" xfId="0" applyFont="1"/>
    <xf numFmtId="0" fontId="12" fillId="0" borderId="0" xfId="0" applyFont="1"/>
    <xf numFmtId="164" fontId="4" fillId="0" borderId="2" xfId="0" applyNumberFormat="1" applyFont="1" applyBorder="1" applyAlignment="1">
      <alignment horizontal="center" wrapText="1"/>
    </xf>
    <xf numFmtId="164" fontId="11" fillId="4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17" fillId="0" borderId="0" xfId="0" applyFont="1"/>
    <xf numFmtId="2" fontId="13" fillId="4" borderId="6" xfId="0" applyNumberFormat="1" applyFont="1" applyFill="1" applyBorder="1" applyAlignment="1">
      <alignment horizontal="center" vertical="center" wrapText="1"/>
    </xf>
    <xf numFmtId="167" fontId="4" fillId="0" borderId="10" xfId="0" applyNumberFormat="1" applyFont="1" applyBorder="1" applyAlignment="1">
      <alignment horizontal="center" wrapText="1"/>
    </xf>
    <xf numFmtId="164" fontId="5" fillId="0" borderId="15" xfId="0" applyNumberFormat="1" applyFont="1" applyBorder="1" applyAlignment="1">
      <alignment horizontal="center" wrapText="1"/>
    </xf>
    <xf numFmtId="164" fontId="4" fillId="0" borderId="15" xfId="0" applyNumberFormat="1" applyFont="1" applyBorder="1" applyAlignment="1">
      <alignment horizontal="center" wrapText="1"/>
    </xf>
    <xf numFmtId="167" fontId="11" fillId="0" borderId="10" xfId="0" applyNumberFormat="1" applyFont="1" applyBorder="1" applyAlignment="1">
      <alignment horizontal="center" wrapText="1"/>
    </xf>
    <xf numFmtId="0" fontId="3" fillId="0" borderId="0" xfId="1" applyFont="1" applyFill="1" applyAlignment="1"/>
    <xf numFmtId="167" fontId="5" fillId="0" borderId="3" xfId="0" applyNumberFormat="1" applyFont="1" applyBorder="1" applyAlignment="1">
      <alignment horizontal="center" wrapText="1"/>
    </xf>
    <xf numFmtId="167" fontId="5" fillId="0" borderId="5" xfId="0" applyNumberFormat="1" applyFont="1" applyBorder="1" applyAlignment="1">
      <alignment horizontal="center" wrapText="1"/>
    </xf>
    <xf numFmtId="43" fontId="5" fillId="0" borderId="0" xfId="2" applyFont="1" applyAlignment="1">
      <alignment horizontal="center" vertical="center"/>
    </xf>
    <xf numFmtId="43" fontId="5" fillId="2" borderId="1" xfId="2" applyFont="1" applyFill="1" applyBorder="1" applyAlignment="1">
      <alignment horizontal="center" vertical="center"/>
    </xf>
    <xf numFmtId="43" fontId="1" fillId="0" borderId="0" xfId="2" applyFont="1" applyAlignment="1">
      <alignment vertical="center"/>
    </xf>
    <xf numFmtId="43" fontId="5" fillId="0" borderId="2" xfId="2" applyFont="1" applyFill="1" applyBorder="1" applyAlignment="1">
      <alignment horizontal="center" vertical="center" wrapText="1"/>
    </xf>
    <xf numFmtId="43" fontId="12" fillId="0" borderId="0" xfId="2" applyFont="1" applyAlignment="1">
      <alignment vertical="center"/>
    </xf>
    <xf numFmtId="43" fontId="4" fillId="0" borderId="2" xfId="2" applyFont="1" applyFill="1" applyBorder="1" applyAlignment="1">
      <alignment horizontal="center" vertical="center" wrapText="1"/>
    </xf>
    <xf numFmtId="44" fontId="4" fillId="0" borderId="2" xfId="3" applyFont="1" applyFill="1" applyBorder="1" applyAlignment="1">
      <alignment horizontal="center" vertical="center" wrapText="1"/>
    </xf>
    <xf numFmtId="14" fontId="9" fillId="3" borderId="9" xfId="0" applyNumberFormat="1" applyFont="1" applyFill="1" applyBorder="1" applyAlignment="1">
      <alignment horizontal="center" vertical="center" wrapText="1"/>
    </xf>
    <xf numFmtId="167" fontId="10" fillId="4" borderId="15" xfId="0" applyNumberFormat="1" applyFont="1" applyFill="1" applyBorder="1" applyAlignment="1">
      <alignment horizontal="center" wrapText="1"/>
    </xf>
    <xf numFmtId="164" fontId="11" fillId="4" borderId="15" xfId="0" applyNumberFormat="1" applyFont="1" applyFill="1" applyBorder="1" applyAlignment="1">
      <alignment horizontal="center" wrapText="1"/>
    </xf>
    <xf numFmtId="164" fontId="10" fillId="4" borderId="15" xfId="0" applyNumberFormat="1" applyFont="1" applyFill="1" applyBorder="1" applyAlignment="1">
      <alignment horizontal="center" wrapText="1"/>
    </xf>
    <xf numFmtId="2" fontId="4" fillId="4" borderId="16" xfId="0" applyNumberFormat="1" applyFont="1" applyFill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wrapText="1"/>
    </xf>
    <xf numFmtId="2" fontId="5" fillId="0" borderId="10" xfId="0" applyNumberFormat="1" applyFont="1" applyBorder="1" applyAlignment="1">
      <alignment horizontal="center" wrapText="1"/>
    </xf>
    <xf numFmtId="165" fontId="4" fillId="0" borderId="10" xfId="0" applyNumberFormat="1" applyFont="1" applyBorder="1" applyAlignment="1">
      <alignment horizontal="center" wrapText="1"/>
    </xf>
    <xf numFmtId="2" fontId="4" fillId="0" borderId="10" xfId="0" applyNumberFormat="1" applyFont="1" applyBorder="1" applyAlignment="1">
      <alignment horizontal="center" wrapText="1"/>
    </xf>
    <xf numFmtId="44" fontId="5" fillId="2" borderId="17" xfId="3" applyFont="1" applyFill="1" applyBorder="1" applyAlignment="1">
      <alignment horizontal="center" vertical="center"/>
    </xf>
    <xf numFmtId="44" fontId="5" fillId="0" borderId="1" xfId="3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FCF6-90E5-4817-A35F-1B6E74B0E77E}">
  <sheetPr>
    <pageSetUpPr fitToPage="1"/>
  </sheetPr>
  <dimension ref="G1"/>
  <sheetViews>
    <sheetView workbookViewId="0">
      <selection sqref="A1:XFD1048576"/>
    </sheetView>
  </sheetViews>
  <sheetFormatPr baseColWidth="10" defaultColWidth="11.42578125" defaultRowHeight="18" x14ac:dyDescent="0.35"/>
  <cols>
    <col min="1" max="6" width="11.42578125" style="1"/>
    <col min="7" max="7" width="11.42578125" style="45"/>
    <col min="8" max="16384" width="11.42578125" style="1"/>
  </cols>
  <sheetData/>
  <pageMargins left="0.25" right="0.25" top="0.75" bottom="0.75" header="0.3" footer="0.3"/>
  <pageSetup paperSize="9"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1BCE-AA04-45D5-AD27-BD0B6BC6986C}">
  <sheetPr>
    <pageSetUpPr fitToPage="1"/>
  </sheetPr>
  <dimension ref="A1:P39"/>
  <sheetViews>
    <sheetView workbookViewId="0">
      <selection activeCell="O22" sqref="O22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7109375" style="1" bestFit="1" customWidth="1"/>
    <col min="9" max="9" width="9.42578125" style="1" bestFit="1" customWidth="1"/>
    <col min="10" max="10" width="9.28515625" style="1" customWidth="1"/>
    <col min="11" max="11" width="17.5703125" style="1" bestFit="1" customWidth="1"/>
    <col min="12" max="12" width="21.140625" style="1" bestFit="1" customWidth="1"/>
    <col min="13" max="13" width="11.42578125" style="1"/>
    <col min="14" max="14" width="13.5703125" style="56" bestFit="1" customWidth="1"/>
    <col min="15" max="15" width="18.140625" style="56" bestFit="1" customWidth="1"/>
    <col min="16" max="16" width="14" style="56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</row>
    <row r="3" spans="1:16" ht="20.25" thickBot="1" x14ac:dyDescent="0.45">
      <c r="C3" s="29"/>
      <c r="D3" s="30"/>
      <c r="E3" s="30"/>
      <c r="F3" s="31" t="s">
        <v>33</v>
      </c>
      <c r="G3" s="2"/>
      <c r="H3" s="52">
        <v>2.0833333333333332E-2</v>
      </c>
      <c r="I3" s="53">
        <v>0.33333333333333331</v>
      </c>
      <c r="J3" s="2"/>
      <c r="K3" s="2"/>
      <c r="N3" s="59">
        <f>+J37</f>
        <v>-170</v>
      </c>
      <c r="O3" s="59">
        <f>+K37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-1530</v>
      </c>
      <c r="O5" s="71">
        <f>+O3*O1</f>
        <v>0</v>
      </c>
      <c r="P5" s="71">
        <f>+O5+N5</f>
        <v>-1530</v>
      </c>
    </row>
    <row r="6" spans="1:16" s="41" customFormat="1" x14ac:dyDescent="0.3">
      <c r="A6" s="5" t="s">
        <v>17</v>
      </c>
      <c r="B6" s="25">
        <v>45658</v>
      </c>
      <c r="C6" s="37">
        <v>0</v>
      </c>
      <c r="D6" s="37">
        <v>0</v>
      </c>
      <c r="E6" s="37">
        <v>0</v>
      </c>
      <c r="F6" s="37">
        <v>0</v>
      </c>
      <c r="G6" s="43">
        <f t="shared" ref="G6" si="0">(F6*24-E6*24)+(D6*24-C6*24)</f>
        <v>0</v>
      </c>
      <c r="H6" s="43">
        <v>0</v>
      </c>
      <c r="I6" s="43">
        <v>0</v>
      </c>
      <c r="J6" s="18"/>
      <c r="K6" s="18">
        <f t="shared" ref="K6" si="1">G6-I6+H6</f>
        <v>0</v>
      </c>
      <c r="L6" s="46"/>
      <c r="M6" s="40"/>
      <c r="N6" s="58"/>
      <c r="O6" s="58"/>
      <c r="P6" s="58"/>
    </row>
    <row r="7" spans="1:16" x14ac:dyDescent="0.3">
      <c r="A7" s="4" t="s">
        <v>18</v>
      </c>
      <c r="B7" s="23">
        <v>45659</v>
      </c>
      <c r="C7" s="38">
        <v>0</v>
      </c>
      <c r="D7" s="38">
        <v>0</v>
      </c>
      <c r="E7" s="38">
        <v>0</v>
      </c>
      <c r="F7" s="38">
        <v>0</v>
      </c>
      <c r="G7" s="44">
        <f t="shared" ref="G7:G10" si="2">(F7*24-E7*24)+(D7*24-C7*24)</f>
        <v>0</v>
      </c>
      <c r="H7" s="42">
        <f>+$H$3*24</f>
        <v>0.5</v>
      </c>
      <c r="I7" s="42">
        <f>+$I$3*24</f>
        <v>8</v>
      </c>
      <c r="J7" s="42">
        <f>G7-I7-H7</f>
        <v>-8.5</v>
      </c>
      <c r="K7" s="39"/>
      <c r="L7" s="24"/>
      <c r="M7" s="2"/>
    </row>
    <row r="8" spans="1:16" x14ac:dyDescent="0.3">
      <c r="A8" s="4" t="s">
        <v>12</v>
      </c>
      <c r="B8" s="23">
        <v>45660</v>
      </c>
      <c r="C8" s="38">
        <v>0</v>
      </c>
      <c r="D8" s="38">
        <v>0</v>
      </c>
      <c r="E8" s="38">
        <v>0</v>
      </c>
      <c r="F8" s="38">
        <v>0</v>
      </c>
      <c r="G8" s="44">
        <f t="shared" si="2"/>
        <v>0</v>
      </c>
      <c r="H8" s="42">
        <f t="shared" ref="H8" si="3">+$H$3*24</f>
        <v>0.5</v>
      </c>
      <c r="I8" s="42">
        <f t="shared" ref="I8" si="4">+$I$3*24</f>
        <v>8</v>
      </c>
      <c r="J8" s="42">
        <f t="shared" ref="J8" si="5">G8-I8-H8</f>
        <v>-8.5</v>
      </c>
      <c r="K8" s="39"/>
      <c r="L8" s="24"/>
      <c r="M8" s="2"/>
    </row>
    <row r="9" spans="1:16" s="41" customFormat="1" x14ac:dyDescent="0.3">
      <c r="A9" s="5" t="s">
        <v>13</v>
      </c>
      <c r="B9" s="25">
        <v>45661</v>
      </c>
      <c r="C9" s="37">
        <v>0</v>
      </c>
      <c r="D9" s="37">
        <v>0</v>
      </c>
      <c r="E9" s="37">
        <v>0</v>
      </c>
      <c r="F9" s="37">
        <v>0</v>
      </c>
      <c r="G9" s="43">
        <f t="shared" si="2"/>
        <v>0</v>
      </c>
      <c r="H9" s="43">
        <v>0</v>
      </c>
      <c r="I9" s="43">
        <v>0</v>
      </c>
      <c r="J9" s="18"/>
      <c r="K9" s="18">
        <f t="shared" ref="K9:K10" si="6">G9-I9+H9</f>
        <v>0</v>
      </c>
      <c r="L9" s="22"/>
      <c r="M9" s="40"/>
      <c r="N9" s="58"/>
      <c r="O9" s="58"/>
      <c r="P9" s="58"/>
    </row>
    <row r="10" spans="1:16" x14ac:dyDescent="0.3">
      <c r="A10" s="5" t="s">
        <v>14</v>
      </c>
      <c r="B10" s="25">
        <v>45662</v>
      </c>
      <c r="C10" s="37">
        <v>0</v>
      </c>
      <c r="D10" s="37">
        <v>0</v>
      </c>
      <c r="E10" s="37">
        <v>0</v>
      </c>
      <c r="F10" s="37">
        <v>0</v>
      </c>
      <c r="G10" s="43">
        <f t="shared" si="2"/>
        <v>0</v>
      </c>
      <c r="H10" s="43">
        <v>0</v>
      </c>
      <c r="I10" s="43">
        <v>0</v>
      </c>
      <c r="J10" s="18"/>
      <c r="K10" s="18">
        <f t="shared" si="6"/>
        <v>0</v>
      </c>
      <c r="L10" s="22"/>
      <c r="M10" s="2"/>
      <c r="N10" s="54"/>
      <c r="O10" s="54"/>
      <c r="P10" s="54"/>
    </row>
    <row r="11" spans="1:16" x14ac:dyDescent="0.3">
      <c r="A11" s="5" t="s">
        <v>15</v>
      </c>
      <c r="B11" s="25">
        <v>45663</v>
      </c>
      <c r="C11" s="37">
        <v>0</v>
      </c>
      <c r="D11" s="37">
        <v>0</v>
      </c>
      <c r="E11" s="37">
        <v>0</v>
      </c>
      <c r="F11" s="37">
        <v>0</v>
      </c>
      <c r="G11" s="43">
        <f t="shared" ref="G11" si="7">(F11*24-E11*24)+(D11*24-C11*24)</f>
        <v>0</v>
      </c>
      <c r="H11" s="43">
        <v>0</v>
      </c>
      <c r="I11" s="43">
        <v>0</v>
      </c>
      <c r="J11" s="18"/>
      <c r="K11" s="18">
        <f t="shared" ref="K11" si="8">G11-I11+H11</f>
        <v>0</v>
      </c>
      <c r="L11" s="46"/>
      <c r="M11" s="2"/>
      <c r="N11" s="54"/>
      <c r="O11" s="54"/>
      <c r="P11" s="54"/>
    </row>
    <row r="12" spans="1:16" x14ac:dyDescent="0.3">
      <c r="A12" s="4" t="s">
        <v>16</v>
      </c>
      <c r="B12" s="23">
        <v>45664</v>
      </c>
      <c r="C12" s="38">
        <v>0</v>
      </c>
      <c r="D12" s="38">
        <v>0</v>
      </c>
      <c r="E12" s="38">
        <v>0</v>
      </c>
      <c r="F12" s="38">
        <v>0</v>
      </c>
      <c r="G12" s="44">
        <f>(F12*24-E12*24)+(D12*24-C12*24)</f>
        <v>0</v>
      </c>
      <c r="H12" s="42">
        <f>+$H$3*24</f>
        <v>0.5</v>
      </c>
      <c r="I12" s="42">
        <f>+$I$3*24</f>
        <v>8</v>
      </c>
      <c r="J12" s="42">
        <f>G12-I12-H12</f>
        <v>-8.5</v>
      </c>
      <c r="K12" s="39"/>
      <c r="L12" s="24"/>
      <c r="M12" s="2"/>
      <c r="N12" s="54"/>
    </row>
    <row r="13" spans="1:16" x14ac:dyDescent="0.3">
      <c r="A13" s="4" t="s">
        <v>17</v>
      </c>
      <c r="B13" s="23">
        <v>45665</v>
      </c>
      <c r="C13" s="38">
        <v>0</v>
      </c>
      <c r="D13" s="38">
        <v>0</v>
      </c>
      <c r="E13" s="38">
        <v>0</v>
      </c>
      <c r="F13" s="38">
        <v>0</v>
      </c>
      <c r="G13" s="44">
        <f t="shared" ref="G13:G36" si="9">(F13*24-E13*24)+(D13*24-C13*24)</f>
        <v>0</v>
      </c>
      <c r="H13" s="42">
        <f t="shared" ref="H13:H36" si="10">+$H$3*24</f>
        <v>0.5</v>
      </c>
      <c r="I13" s="42">
        <f t="shared" ref="I13:I36" si="11">+$I$3*24</f>
        <v>8</v>
      </c>
      <c r="J13" s="42">
        <f t="shared" ref="J13:J36" si="12">G13-I13-H13</f>
        <v>-8.5</v>
      </c>
      <c r="K13" s="39"/>
      <c r="L13" s="24"/>
      <c r="M13" s="2"/>
    </row>
    <row r="14" spans="1:16" x14ac:dyDescent="0.3">
      <c r="A14" s="4" t="s">
        <v>18</v>
      </c>
      <c r="B14" s="23">
        <v>45666</v>
      </c>
      <c r="C14" s="38">
        <v>0</v>
      </c>
      <c r="D14" s="38">
        <v>0</v>
      </c>
      <c r="E14" s="38">
        <v>0</v>
      </c>
      <c r="F14" s="38">
        <v>0</v>
      </c>
      <c r="G14" s="44">
        <f t="shared" si="9"/>
        <v>0</v>
      </c>
      <c r="H14" s="42">
        <f t="shared" si="10"/>
        <v>0.5</v>
      </c>
      <c r="I14" s="42">
        <f t="shared" si="11"/>
        <v>8</v>
      </c>
      <c r="J14" s="42">
        <f t="shared" si="12"/>
        <v>-8.5</v>
      </c>
      <c r="K14" s="39"/>
      <c r="L14" s="24"/>
      <c r="M14" s="2"/>
    </row>
    <row r="15" spans="1:16" x14ac:dyDescent="0.3">
      <c r="A15" s="4" t="s">
        <v>12</v>
      </c>
      <c r="B15" s="23">
        <v>45667</v>
      </c>
      <c r="C15" s="38">
        <v>0</v>
      </c>
      <c r="D15" s="38">
        <v>0</v>
      </c>
      <c r="E15" s="38">
        <v>0</v>
      </c>
      <c r="F15" s="38">
        <v>0</v>
      </c>
      <c r="G15" s="44">
        <f t="shared" si="9"/>
        <v>0</v>
      </c>
      <c r="H15" s="42">
        <f t="shared" si="10"/>
        <v>0.5</v>
      </c>
      <c r="I15" s="42">
        <f t="shared" si="11"/>
        <v>8</v>
      </c>
      <c r="J15" s="42">
        <f t="shared" si="12"/>
        <v>-8.5</v>
      </c>
      <c r="K15" s="39"/>
      <c r="L15" s="24"/>
      <c r="M15" s="2"/>
    </row>
    <row r="16" spans="1:16" x14ac:dyDescent="0.3">
      <c r="A16" s="5" t="s">
        <v>13</v>
      </c>
      <c r="B16" s="25">
        <v>45668</v>
      </c>
      <c r="C16" s="37">
        <v>0</v>
      </c>
      <c r="D16" s="37">
        <v>0</v>
      </c>
      <c r="E16" s="37">
        <v>0</v>
      </c>
      <c r="F16" s="37">
        <v>0</v>
      </c>
      <c r="G16" s="43">
        <f t="shared" si="9"/>
        <v>0</v>
      </c>
      <c r="H16" s="43">
        <v>0</v>
      </c>
      <c r="I16" s="43">
        <v>0</v>
      </c>
      <c r="J16" s="18"/>
      <c r="K16" s="18">
        <f t="shared" ref="K16:K17" si="13">G16-I16+H16</f>
        <v>0</v>
      </c>
      <c r="L16" s="22"/>
      <c r="M16" s="2"/>
    </row>
    <row r="17" spans="1:16" x14ac:dyDescent="0.3">
      <c r="A17" s="5" t="s">
        <v>14</v>
      </c>
      <c r="B17" s="25">
        <v>45669</v>
      </c>
      <c r="C17" s="37">
        <v>0</v>
      </c>
      <c r="D17" s="37">
        <v>0</v>
      </c>
      <c r="E17" s="37">
        <v>0</v>
      </c>
      <c r="F17" s="37">
        <v>0</v>
      </c>
      <c r="G17" s="43">
        <f t="shared" si="9"/>
        <v>0</v>
      </c>
      <c r="H17" s="43">
        <v>0</v>
      </c>
      <c r="I17" s="43">
        <v>0</v>
      </c>
      <c r="J17" s="18"/>
      <c r="K17" s="18">
        <f t="shared" si="13"/>
        <v>0</v>
      </c>
      <c r="L17" s="22"/>
      <c r="M17" s="2"/>
      <c r="N17" s="54"/>
      <c r="O17" s="54"/>
      <c r="P17" s="54"/>
    </row>
    <row r="18" spans="1:16" x14ac:dyDescent="0.3">
      <c r="A18" s="4" t="s">
        <v>15</v>
      </c>
      <c r="B18" s="23">
        <v>45670</v>
      </c>
      <c r="C18" s="38">
        <v>0</v>
      </c>
      <c r="D18" s="38">
        <v>0</v>
      </c>
      <c r="E18" s="38">
        <v>0</v>
      </c>
      <c r="F18" s="38">
        <v>0</v>
      </c>
      <c r="G18" s="44">
        <f t="shared" si="9"/>
        <v>0</v>
      </c>
      <c r="H18" s="42">
        <f t="shared" si="10"/>
        <v>0.5</v>
      </c>
      <c r="I18" s="42">
        <f t="shared" si="11"/>
        <v>8</v>
      </c>
      <c r="J18" s="42">
        <f t="shared" si="12"/>
        <v>-8.5</v>
      </c>
      <c r="K18" s="39"/>
      <c r="L18" s="24"/>
      <c r="M18" s="2"/>
    </row>
    <row r="19" spans="1:16" x14ac:dyDescent="0.3">
      <c r="A19" s="4" t="s">
        <v>16</v>
      </c>
      <c r="B19" s="23">
        <v>45671</v>
      </c>
      <c r="C19" s="38">
        <v>0</v>
      </c>
      <c r="D19" s="38">
        <v>0</v>
      </c>
      <c r="E19" s="38">
        <v>0</v>
      </c>
      <c r="F19" s="38">
        <v>0</v>
      </c>
      <c r="G19" s="44">
        <f t="shared" si="9"/>
        <v>0</v>
      </c>
      <c r="H19" s="42">
        <f t="shared" si="10"/>
        <v>0.5</v>
      </c>
      <c r="I19" s="42">
        <f t="shared" si="11"/>
        <v>8</v>
      </c>
      <c r="J19" s="42">
        <f t="shared" si="12"/>
        <v>-8.5</v>
      </c>
      <c r="K19" s="39"/>
      <c r="L19" s="24"/>
      <c r="M19" s="2"/>
    </row>
    <row r="20" spans="1:16" x14ac:dyDescent="0.3">
      <c r="A20" s="4" t="s">
        <v>17</v>
      </c>
      <c r="B20" s="23">
        <v>45672</v>
      </c>
      <c r="C20" s="38">
        <v>0</v>
      </c>
      <c r="D20" s="38">
        <v>0</v>
      </c>
      <c r="E20" s="38">
        <v>0</v>
      </c>
      <c r="F20" s="38">
        <v>0</v>
      </c>
      <c r="G20" s="44">
        <f t="shared" si="9"/>
        <v>0</v>
      </c>
      <c r="H20" s="42">
        <f t="shared" si="10"/>
        <v>0.5</v>
      </c>
      <c r="I20" s="42">
        <f t="shared" si="11"/>
        <v>8</v>
      </c>
      <c r="J20" s="42">
        <f t="shared" si="12"/>
        <v>-8.5</v>
      </c>
      <c r="K20" s="39"/>
      <c r="L20" s="24"/>
      <c r="M20" s="2"/>
    </row>
    <row r="21" spans="1:16" x14ac:dyDescent="0.3">
      <c r="A21" s="4" t="s">
        <v>18</v>
      </c>
      <c r="B21" s="23">
        <v>45673</v>
      </c>
      <c r="C21" s="38">
        <v>0</v>
      </c>
      <c r="D21" s="38">
        <v>0</v>
      </c>
      <c r="E21" s="38">
        <v>0</v>
      </c>
      <c r="F21" s="38">
        <v>0</v>
      </c>
      <c r="G21" s="44">
        <f t="shared" si="9"/>
        <v>0</v>
      </c>
      <c r="H21" s="42">
        <f t="shared" si="10"/>
        <v>0.5</v>
      </c>
      <c r="I21" s="42">
        <f t="shared" si="11"/>
        <v>8</v>
      </c>
      <c r="J21" s="42">
        <f t="shared" si="12"/>
        <v>-8.5</v>
      </c>
      <c r="K21" s="39"/>
      <c r="L21" s="24"/>
      <c r="M21" s="2"/>
    </row>
    <row r="22" spans="1:16" x14ac:dyDescent="0.3">
      <c r="A22" s="4" t="s">
        <v>12</v>
      </c>
      <c r="B22" s="23">
        <v>45674</v>
      </c>
      <c r="C22" s="38">
        <v>0</v>
      </c>
      <c r="D22" s="38">
        <v>0</v>
      </c>
      <c r="E22" s="38">
        <v>0</v>
      </c>
      <c r="F22" s="38">
        <v>0</v>
      </c>
      <c r="G22" s="44">
        <f t="shared" si="9"/>
        <v>0</v>
      </c>
      <c r="H22" s="42">
        <f t="shared" si="10"/>
        <v>0.5</v>
      </c>
      <c r="I22" s="42">
        <f t="shared" si="11"/>
        <v>8</v>
      </c>
      <c r="J22" s="42">
        <f t="shared" si="12"/>
        <v>-8.5</v>
      </c>
      <c r="K22" s="39"/>
      <c r="L22" s="24"/>
      <c r="M22" s="2"/>
    </row>
    <row r="23" spans="1:16" x14ac:dyDescent="0.3">
      <c r="A23" s="5" t="s">
        <v>13</v>
      </c>
      <c r="B23" s="25">
        <v>45675</v>
      </c>
      <c r="C23" s="37">
        <v>0</v>
      </c>
      <c r="D23" s="37">
        <v>0</v>
      </c>
      <c r="E23" s="37">
        <v>0</v>
      </c>
      <c r="F23" s="37">
        <v>0</v>
      </c>
      <c r="G23" s="43">
        <f t="shared" si="9"/>
        <v>0</v>
      </c>
      <c r="H23" s="43">
        <v>0</v>
      </c>
      <c r="I23" s="43">
        <v>0</v>
      </c>
      <c r="J23" s="18"/>
      <c r="K23" s="18">
        <f t="shared" ref="K23:K25" si="14">G23-I23+H23</f>
        <v>0</v>
      </c>
      <c r="L23" s="22"/>
      <c r="M23" s="2"/>
    </row>
    <row r="24" spans="1:16" x14ac:dyDescent="0.3">
      <c r="A24" s="5" t="s">
        <v>14</v>
      </c>
      <c r="B24" s="25">
        <v>45676</v>
      </c>
      <c r="C24" s="37">
        <v>0</v>
      </c>
      <c r="D24" s="37">
        <v>0</v>
      </c>
      <c r="E24" s="37">
        <v>0</v>
      </c>
      <c r="F24" s="37">
        <v>0</v>
      </c>
      <c r="G24" s="43">
        <f t="shared" si="9"/>
        <v>0</v>
      </c>
      <c r="H24" s="43">
        <v>0</v>
      </c>
      <c r="I24" s="43">
        <v>0</v>
      </c>
      <c r="J24" s="18"/>
      <c r="K24" s="18">
        <f t="shared" si="14"/>
        <v>0</v>
      </c>
      <c r="L24" s="22"/>
      <c r="M24" s="2"/>
      <c r="N24" s="54"/>
      <c r="O24" s="54"/>
      <c r="P24" s="54"/>
    </row>
    <row r="25" spans="1:16" x14ac:dyDescent="0.3">
      <c r="A25" s="5" t="s">
        <v>15</v>
      </c>
      <c r="B25" s="25">
        <v>45677</v>
      </c>
      <c r="C25" s="37">
        <v>0</v>
      </c>
      <c r="D25" s="37">
        <v>0</v>
      </c>
      <c r="E25" s="37">
        <v>0</v>
      </c>
      <c r="F25" s="37">
        <v>0</v>
      </c>
      <c r="G25" s="43">
        <f t="shared" si="9"/>
        <v>0</v>
      </c>
      <c r="H25" s="43">
        <v>0</v>
      </c>
      <c r="I25" s="43">
        <v>0</v>
      </c>
      <c r="J25" s="18"/>
      <c r="K25" s="18">
        <f t="shared" si="14"/>
        <v>0</v>
      </c>
      <c r="L25" s="46"/>
      <c r="M25" s="2"/>
      <c r="N25" s="54"/>
      <c r="O25" s="54"/>
      <c r="P25" s="54"/>
    </row>
    <row r="26" spans="1:16" x14ac:dyDescent="0.3">
      <c r="A26" s="4" t="s">
        <v>16</v>
      </c>
      <c r="B26" s="23">
        <v>45678</v>
      </c>
      <c r="C26" s="38">
        <v>0</v>
      </c>
      <c r="D26" s="38">
        <v>0</v>
      </c>
      <c r="E26" s="38">
        <v>0</v>
      </c>
      <c r="F26" s="38">
        <v>0</v>
      </c>
      <c r="G26" s="44">
        <f t="shared" si="9"/>
        <v>0</v>
      </c>
      <c r="H26" s="42">
        <f t="shared" si="10"/>
        <v>0.5</v>
      </c>
      <c r="I26" s="42">
        <f t="shared" si="11"/>
        <v>8</v>
      </c>
      <c r="J26" s="42">
        <f t="shared" si="12"/>
        <v>-8.5</v>
      </c>
      <c r="K26" s="39"/>
      <c r="L26" s="24"/>
      <c r="M26" s="2"/>
    </row>
    <row r="27" spans="1:16" x14ac:dyDescent="0.3">
      <c r="A27" s="4" t="s">
        <v>17</v>
      </c>
      <c r="B27" s="23">
        <v>45679</v>
      </c>
      <c r="C27" s="38">
        <v>0</v>
      </c>
      <c r="D27" s="38">
        <v>0</v>
      </c>
      <c r="E27" s="38">
        <v>0</v>
      </c>
      <c r="F27" s="38">
        <v>0</v>
      </c>
      <c r="G27" s="44">
        <f t="shared" si="9"/>
        <v>0</v>
      </c>
      <c r="H27" s="42">
        <f t="shared" si="10"/>
        <v>0.5</v>
      </c>
      <c r="I27" s="42">
        <f t="shared" si="11"/>
        <v>8</v>
      </c>
      <c r="J27" s="42">
        <f t="shared" si="12"/>
        <v>-8.5</v>
      </c>
      <c r="K27" s="39"/>
      <c r="L27" s="24"/>
      <c r="M27" s="2"/>
    </row>
    <row r="28" spans="1:16" x14ac:dyDescent="0.3">
      <c r="A28" s="4" t="s">
        <v>18</v>
      </c>
      <c r="B28" s="23">
        <v>45680</v>
      </c>
      <c r="C28" s="38">
        <v>0</v>
      </c>
      <c r="D28" s="38">
        <v>0</v>
      </c>
      <c r="E28" s="38">
        <v>0</v>
      </c>
      <c r="F28" s="38">
        <v>0</v>
      </c>
      <c r="G28" s="44">
        <f t="shared" si="9"/>
        <v>0</v>
      </c>
      <c r="H28" s="42">
        <f t="shared" si="10"/>
        <v>0.5</v>
      </c>
      <c r="I28" s="42">
        <f t="shared" si="11"/>
        <v>8</v>
      </c>
      <c r="J28" s="42">
        <f t="shared" si="12"/>
        <v>-8.5</v>
      </c>
      <c r="K28" s="39"/>
      <c r="L28" s="24"/>
      <c r="M28" s="2"/>
    </row>
    <row r="29" spans="1:16" x14ac:dyDescent="0.3">
      <c r="A29" s="4" t="s">
        <v>12</v>
      </c>
      <c r="B29" s="23">
        <v>45681</v>
      </c>
      <c r="C29" s="38">
        <v>0</v>
      </c>
      <c r="D29" s="38">
        <v>0</v>
      </c>
      <c r="E29" s="38">
        <v>0</v>
      </c>
      <c r="F29" s="38">
        <v>0</v>
      </c>
      <c r="G29" s="44">
        <f t="shared" si="9"/>
        <v>0</v>
      </c>
      <c r="H29" s="42">
        <f t="shared" si="10"/>
        <v>0.5</v>
      </c>
      <c r="I29" s="42">
        <f t="shared" si="11"/>
        <v>8</v>
      </c>
      <c r="J29" s="42">
        <f t="shared" si="12"/>
        <v>-8.5</v>
      </c>
      <c r="K29" s="39"/>
      <c r="L29" s="24"/>
      <c r="M29" s="2"/>
    </row>
    <row r="30" spans="1:16" x14ac:dyDescent="0.3">
      <c r="A30" s="5" t="s">
        <v>13</v>
      </c>
      <c r="B30" s="25">
        <v>45682</v>
      </c>
      <c r="C30" s="37">
        <v>0</v>
      </c>
      <c r="D30" s="37">
        <v>0</v>
      </c>
      <c r="E30" s="37">
        <v>0</v>
      </c>
      <c r="F30" s="37">
        <v>0</v>
      </c>
      <c r="G30" s="43">
        <f t="shared" si="9"/>
        <v>0</v>
      </c>
      <c r="H30" s="43">
        <v>0</v>
      </c>
      <c r="I30" s="43">
        <v>0</v>
      </c>
      <c r="J30" s="18"/>
      <c r="K30" s="18">
        <f t="shared" ref="K30:K31" si="15">G30-I30+H30</f>
        <v>0</v>
      </c>
      <c r="L30" s="22"/>
      <c r="M30" s="2"/>
    </row>
    <row r="31" spans="1:16" x14ac:dyDescent="0.3">
      <c r="A31" s="5" t="s">
        <v>14</v>
      </c>
      <c r="B31" s="25">
        <v>45683</v>
      </c>
      <c r="C31" s="37">
        <v>0</v>
      </c>
      <c r="D31" s="37">
        <v>0</v>
      </c>
      <c r="E31" s="37">
        <v>0</v>
      </c>
      <c r="F31" s="37">
        <v>0</v>
      </c>
      <c r="G31" s="43">
        <f t="shared" si="9"/>
        <v>0</v>
      </c>
      <c r="H31" s="43">
        <v>0</v>
      </c>
      <c r="I31" s="43">
        <v>0</v>
      </c>
      <c r="J31" s="18"/>
      <c r="K31" s="18">
        <f t="shared" si="15"/>
        <v>0</v>
      </c>
      <c r="L31" s="22"/>
      <c r="M31" s="2"/>
      <c r="N31" s="54"/>
      <c r="O31" s="54"/>
      <c r="P31" s="54"/>
    </row>
    <row r="32" spans="1:16" x14ac:dyDescent="0.3">
      <c r="A32" s="4" t="s">
        <v>15</v>
      </c>
      <c r="B32" s="23">
        <v>45684</v>
      </c>
      <c r="C32" s="38">
        <v>0</v>
      </c>
      <c r="D32" s="38">
        <v>0</v>
      </c>
      <c r="E32" s="38">
        <v>0</v>
      </c>
      <c r="F32" s="38">
        <v>0</v>
      </c>
      <c r="G32" s="44">
        <f t="shared" si="9"/>
        <v>0</v>
      </c>
      <c r="H32" s="42">
        <f t="shared" si="10"/>
        <v>0.5</v>
      </c>
      <c r="I32" s="42">
        <f t="shared" si="11"/>
        <v>8</v>
      </c>
      <c r="J32" s="42">
        <f t="shared" si="12"/>
        <v>-8.5</v>
      </c>
      <c r="K32" s="39"/>
      <c r="L32" s="24"/>
      <c r="M32" s="2"/>
    </row>
    <row r="33" spans="1:13" x14ac:dyDescent="0.3">
      <c r="A33" s="4" t="s">
        <v>16</v>
      </c>
      <c r="B33" s="23">
        <v>45685</v>
      </c>
      <c r="C33" s="38">
        <v>0</v>
      </c>
      <c r="D33" s="38">
        <v>0</v>
      </c>
      <c r="E33" s="38">
        <v>0</v>
      </c>
      <c r="F33" s="38">
        <v>0</v>
      </c>
      <c r="G33" s="44">
        <f t="shared" si="9"/>
        <v>0</v>
      </c>
      <c r="H33" s="42">
        <f t="shared" si="10"/>
        <v>0.5</v>
      </c>
      <c r="I33" s="42">
        <f t="shared" si="11"/>
        <v>8</v>
      </c>
      <c r="J33" s="42">
        <f t="shared" si="12"/>
        <v>-8.5</v>
      </c>
      <c r="K33" s="39"/>
      <c r="L33" s="24"/>
      <c r="M33" s="2"/>
    </row>
    <row r="34" spans="1:13" x14ac:dyDescent="0.3">
      <c r="A34" s="4" t="s">
        <v>17</v>
      </c>
      <c r="B34" s="23">
        <v>45686</v>
      </c>
      <c r="C34" s="38">
        <v>0</v>
      </c>
      <c r="D34" s="38">
        <v>0</v>
      </c>
      <c r="E34" s="38">
        <v>0</v>
      </c>
      <c r="F34" s="38">
        <v>0</v>
      </c>
      <c r="G34" s="44">
        <f t="shared" si="9"/>
        <v>0</v>
      </c>
      <c r="H34" s="42">
        <f t="shared" si="10"/>
        <v>0.5</v>
      </c>
      <c r="I34" s="42">
        <f t="shared" si="11"/>
        <v>8</v>
      </c>
      <c r="J34" s="42">
        <f t="shared" si="12"/>
        <v>-8.5</v>
      </c>
      <c r="K34" s="39"/>
      <c r="L34" s="24"/>
      <c r="M34" s="2"/>
    </row>
    <row r="35" spans="1:13" x14ac:dyDescent="0.3">
      <c r="A35" s="4" t="s">
        <v>18</v>
      </c>
      <c r="B35" s="23">
        <v>45687</v>
      </c>
      <c r="C35" s="38">
        <v>0</v>
      </c>
      <c r="D35" s="38">
        <v>0</v>
      </c>
      <c r="E35" s="38">
        <v>0</v>
      </c>
      <c r="F35" s="38">
        <v>0</v>
      </c>
      <c r="G35" s="44">
        <f t="shared" si="9"/>
        <v>0</v>
      </c>
      <c r="H35" s="42">
        <f t="shared" si="10"/>
        <v>0.5</v>
      </c>
      <c r="I35" s="42">
        <f t="shared" si="11"/>
        <v>8</v>
      </c>
      <c r="J35" s="42">
        <f t="shared" si="12"/>
        <v>-8.5</v>
      </c>
      <c r="K35" s="39"/>
      <c r="L35" s="24"/>
      <c r="M35" s="2"/>
    </row>
    <row r="36" spans="1:13" ht="17.25" thickBot="1" x14ac:dyDescent="0.35">
      <c r="A36" s="4" t="s">
        <v>12</v>
      </c>
      <c r="B36" s="27">
        <v>45688</v>
      </c>
      <c r="C36" s="47">
        <v>0</v>
      </c>
      <c r="D36" s="47">
        <v>0</v>
      </c>
      <c r="E36" s="47">
        <v>0</v>
      </c>
      <c r="F36" s="47">
        <v>0</v>
      </c>
      <c r="G36" s="48">
        <f t="shared" si="9"/>
        <v>0</v>
      </c>
      <c r="H36" s="49">
        <f t="shared" si="10"/>
        <v>0.5</v>
      </c>
      <c r="I36" s="49">
        <f t="shared" si="11"/>
        <v>8</v>
      </c>
      <c r="J36" s="49">
        <f t="shared" si="12"/>
        <v>-8.5</v>
      </c>
      <c r="K36" s="50"/>
      <c r="L36" s="28"/>
      <c r="M36" s="2"/>
    </row>
    <row r="37" spans="1:13" x14ac:dyDescent="0.3">
      <c r="A37" s="13"/>
      <c r="B37" s="12"/>
      <c r="C37" s="2"/>
      <c r="D37" s="2"/>
      <c r="E37" s="2"/>
      <c r="F37" s="8"/>
      <c r="G37" s="44">
        <f>SUM(G6:G36)</f>
        <v>0</v>
      </c>
      <c r="H37" s="44">
        <f t="shared" ref="H37:I37" si="16">SUM(H6:H36)</f>
        <v>10</v>
      </c>
      <c r="I37" s="44">
        <f t="shared" si="16"/>
        <v>160</v>
      </c>
      <c r="J37" s="44">
        <f>SUM(J6:J36)</f>
        <v>-170</v>
      </c>
      <c r="K37" s="44">
        <f>SUM(K6:K36)</f>
        <v>0</v>
      </c>
      <c r="L37" s="2"/>
      <c r="M37" s="2"/>
    </row>
    <row r="38" spans="1:13" x14ac:dyDescent="0.3">
      <c r="A38" s="14"/>
      <c r="B38" s="12"/>
    </row>
    <row r="39" spans="1:13" x14ac:dyDescent="0.3">
      <c r="B39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D1D1-5331-49FC-BBDB-885E9F728CC9}">
  <sheetPr>
    <pageSetUpPr fitToPage="1"/>
  </sheetPr>
  <dimension ref="A1:P36"/>
  <sheetViews>
    <sheetView workbookViewId="0">
      <selection activeCell="C3" sqref="C3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3" width="11.42578125" style="1"/>
    <col min="14" max="14" width="11.85546875" style="1" bestFit="1" customWidth="1"/>
    <col min="15" max="15" width="10.5703125" style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32</v>
      </c>
      <c r="G3" s="2"/>
      <c r="H3" s="52">
        <v>2.0833333333333332E-2</v>
      </c>
      <c r="I3" s="53">
        <v>0.33333333333333331</v>
      </c>
      <c r="J3" s="2"/>
      <c r="K3" s="2"/>
      <c r="N3" s="59">
        <f>+J34</f>
        <v>-161.16666666666669</v>
      </c>
      <c r="O3" s="59">
        <f>+K34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-1450.5000000000002</v>
      </c>
      <c r="O5" s="71">
        <f>+O3*O1</f>
        <v>0</v>
      </c>
      <c r="P5" s="71">
        <f>+O5+N5</f>
        <v>-1450.5000000000002</v>
      </c>
    </row>
    <row r="6" spans="1:16" s="41" customFormat="1" x14ac:dyDescent="0.3">
      <c r="A6" s="5" t="s">
        <v>13</v>
      </c>
      <c r="B6" s="25">
        <v>45689</v>
      </c>
      <c r="C6" s="37">
        <v>0</v>
      </c>
      <c r="D6" s="37">
        <v>0</v>
      </c>
      <c r="E6" s="37">
        <v>0</v>
      </c>
      <c r="F6" s="37">
        <v>0</v>
      </c>
      <c r="G6" s="43">
        <f t="shared" ref="G6:G7" si="0">(F6*24-E6*24)+(D6*24-C6*24)</f>
        <v>0</v>
      </c>
      <c r="H6" s="43">
        <v>0</v>
      </c>
      <c r="I6" s="43">
        <v>0</v>
      </c>
      <c r="J6" s="18"/>
      <c r="K6" s="18">
        <f t="shared" ref="K6:K7" si="1">G6-I6+H6</f>
        <v>0</v>
      </c>
      <c r="L6" s="22"/>
      <c r="M6" s="40"/>
      <c r="N6" s="58"/>
      <c r="O6" s="58"/>
      <c r="P6" s="58"/>
    </row>
    <row r="7" spans="1:16" s="41" customFormat="1" x14ac:dyDescent="0.3">
      <c r="A7" s="5" t="s">
        <v>14</v>
      </c>
      <c r="B7" s="25">
        <v>45690</v>
      </c>
      <c r="C7" s="37">
        <v>0</v>
      </c>
      <c r="D7" s="37">
        <v>0</v>
      </c>
      <c r="E7" s="37">
        <v>0</v>
      </c>
      <c r="F7" s="37">
        <v>0</v>
      </c>
      <c r="G7" s="43">
        <f t="shared" si="0"/>
        <v>0</v>
      </c>
      <c r="H7" s="43">
        <v>0</v>
      </c>
      <c r="I7" s="43">
        <v>0</v>
      </c>
      <c r="J7" s="18"/>
      <c r="K7" s="18">
        <f t="shared" si="1"/>
        <v>0</v>
      </c>
      <c r="L7" s="22"/>
      <c r="M7" s="40"/>
      <c r="N7" s="58"/>
      <c r="O7" s="58"/>
      <c r="P7" s="58"/>
    </row>
    <row r="8" spans="1:16" x14ac:dyDescent="0.3">
      <c r="A8" s="4" t="s">
        <v>15</v>
      </c>
      <c r="B8" s="23">
        <v>45691</v>
      </c>
      <c r="C8" s="38">
        <v>0.29166666666666669</v>
      </c>
      <c r="D8" s="38">
        <v>0.65972222222222221</v>
      </c>
      <c r="E8" s="38">
        <v>0</v>
      </c>
      <c r="F8" s="38">
        <v>0</v>
      </c>
      <c r="G8" s="44">
        <f t="shared" ref="G8:G14" si="2">(F8*24-E8*24)+(D8*24-C8*24)</f>
        <v>8.8333333333333321</v>
      </c>
      <c r="H8" s="42">
        <f>+$H$3*24</f>
        <v>0.5</v>
      </c>
      <c r="I8" s="42">
        <f>+$I$3*24</f>
        <v>8</v>
      </c>
      <c r="J8" s="42">
        <f>G8-I8-H8</f>
        <v>0.33333333333333215</v>
      </c>
      <c r="K8" s="39"/>
      <c r="L8" s="24"/>
      <c r="M8" s="2"/>
      <c r="N8" s="56"/>
      <c r="O8" s="56"/>
      <c r="P8" s="56"/>
    </row>
    <row r="9" spans="1:16" x14ac:dyDescent="0.3">
      <c r="A9" s="4" t="s">
        <v>16</v>
      </c>
      <c r="B9" s="23">
        <v>45692</v>
      </c>
      <c r="C9" s="38">
        <v>0</v>
      </c>
      <c r="D9" s="38">
        <v>0</v>
      </c>
      <c r="E9" s="38">
        <v>0</v>
      </c>
      <c r="F9" s="38">
        <v>0</v>
      </c>
      <c r="G9" s="44">
        <f t="shared" si="2"/>
        <v>0</v>
      </c>
      <c r="H9" s="42">
        <f>+$H$3*24</f>
        <v>0.5</v>
      </c>
      <c r="I9" s="42">
        <f>+$I$3*24</f>
        <v>8</v>
      </c>
      <c r="J9" s="42">
        <f>G9-I9-H9</f>
        <v>-8.5</v>
      </c>
      <c r="K9" s="39"/>
      <c r="L9" s="24"/>
      <c r="M9" s="2"/>
      <c r="N9" s="56"/>
      <c r="O9" s="56"/>
      <c r="P9" s="56"/>
    </row>
    <row r="10" spans="1:16" x14ac:dyDescent="0.3">
      <c r="A10" s="4" t="s">
        <v>17</v>
      </c>
      <c r="B10" s="23">
        <v>45693</v>
      </c>
      <c r="C10" s="38">
        <v>0</v>
      </c>
      <c r="D10" s="38">
        <v>0</v>
      </c>
      <c r="E10" s="38">
        <v>0</v>
      </c>
      <c r="F10" s="38">
        <v>0</v>
      </c>
      <c r="G10" s="44">
        <f t="shared" si="2"/>
        <v>0</v>
      </c>
      <c r="H10" s="42">
        <f>+$H$3*24</f>
        <v>0.5</v>
      </c>
      <c r="I10" s="42">
        <f>+$I$3*24</f>
        <v>8</v>
      </c>
      <c r="J10" s="42">
        <f>G10-I10-H10</f>
        <v>-8.5</v>
      </c>
      <c r="K10" s="39"/>
      <c r="L10" s="24"/>
      <c r="M10" s="2"/>
      <c r="N10" s="56"/>
      <c r="O10" s="56"/>
      <c r="P10" s="56"/>
    </row>
    <row r="11" spans="1:16" x14ac:dyDescent="0.3">
      <c r="A11" s="4" t="s">
        <v>18</v>
      </c>
      <c r="B11" s="23">
        <v>45694</v>
      </c>
      <c r="C11" s="38">
        <v>0</v>
      </c>
      <c r="D11" s="38">
        <v>0</v>
      </c>
      <c r="E11" s="38">
        <v>0</v>
      </c>
      <c r="F11" s="38">
        <v>0</v>
      </c>
      <c r="G11" s="44">
        <f t="shared" si="2"/>
        <v>0</v>
      </c>
      <c r="H11" s="42">
        <f>+$H$3*24</f>
        <v>0.5</v>
      </c>
      <c r="I11" s="42">
        <f>+$I$3*24</f>
        <v>8</v>
      </c>
      <c r="J11" s="42">
        <f>G11-I11-H11</f>
        <v>-8.5</v>
      </c>
      <c r="K11" s="39"/>
      <c r="L11" s="24"/>
      <c r="M11" s="2"/>
      <c r="N11" s="56"/>
      <c r="O11" s="56"/>
      <c r="P11" s="56"/>
    </row>
    <row r="12" spans="1:16" x14ac:dyDescent="0.3">
      <c r="A12" s="4" t="s">
        <v>12</v>
      </c>
      <c r="B12" s="23">
        <v>45695</v>
      </c>
      <c r="C12" s="38">
        <v>0</v>
      </c>
      <c r="D12" s="38">
        <v>0</v>
      </c>
      <c r="E12" s="38">
        <v>0</v>
      </c>
      <c r="F12" s="38">
        <v>0</v>
      </c>
      <c r="G12" s="44">
        <f t="shared" si="2"/>
        <v>0</v>
      </c>
      <c r="H12" s="42">
        <f>+$H$3*24</f>
        <v>0.5</v>
      </c>
      <c r="I12" s="42">
        <f>+$I$3*24</f>
        <v>8</v>
      </c>
      <c r="J12" s="42">
        <f>G12-I12-H12</f>
        <v>-8.5</v>
      </c>
      <c r="K12" s="39"/>
      <c r="L12" s="24"/>
      <c r="M12" s="2"/>
      <c r="N12" s="56"/>
      <c r="O12" s="56"/>
      <c r="P12" s="56"/>
    </row>
    <row r="13" spans="1:16" s="41" customFormat="1" x14ac:dyDescent="0.3">
      <c r="A13" s="5" t="s">
        <v>13</v>
      </c>
      <c r="B13" s="25">
        <v>45696</v>
      </c>
      <c r="C13" s="37">
        <v>0</v>
      </c>
      <c r="D13" s="37">
        <v>0</v>
      </c>
      <c r="E13" s="37">
        <v>0</v>
      </c>
      <c r="F13" s="37">
        <v>0</v>
      </c>
      <c r="G13" s="43">
        <f t="shared" si="2"/>
        <v>0</v>
      </c>
      <c r="H13" s="43">
        <v>0</v>
      </c>
      <c r="I13" s="43">
        <v>0</v>
      </c>
      <c r="J13" s="18"/>
      <c r="K13" s="18">
        <f t="shared" ref="K13:K14" si="3">G13-I13+H13</f>
        <v>0</v>
      </c>
      <c r="L13" s="22"/>
      <c r="M13" s="40"/>
      <c r="N13" s="58"/>
      <c r="O13" s="58"/>
      <c r="P13" s="58"/>
    </row>
    <row r="14" spans="1:16" s="41" customFormat="1" x14ac:dyDescent="0.3">
      <c r="A14" s="5" t="s">
        <v>14</v>
      </c>
      <c r="B14" s="25">
        <v>45697</v>
      </c>
      <c r="C14" s="37">
        <v>0</v>
      </c>
      <c r="D14" s="37">
        <v>0</v>
      </c>
      <c r="E14" s="37">
        <v>0</v>
      </c>
      <c r="F14" s="37">
        <v>0</v>
      </c>
      <c r="G14" s="43">
        <f t="shared" si="2"/>
        <v>0</v>
      </c>
      <c r="H14" s="43">
        <v>0</v>
      </c>
      <c r="I14" s="43">
        <v>0</v>
      </c>
      <c r="J14" s="18"/>
      <c r="K14" s="18">
        <f t="shared" si="3"/>
        <v>0</v>
      </c>
      <c r="L14" s="22"/>
      <c r="M14" s="40"/>
      <c r="N14" s="58"/>
      <c r="O14" s="58"/>
      <c r="P14" s="58"/>
    </row>
    <row r="15" spans="1:16" x14ac:dyDescent="0.3">
      <c r="A15" s="4" t="s">
        <v>15</v>
      </c>
      <c r="B15" s="23">
        <v>45698</v>
      </c>
      <c r="C15" s="38">
        <v>0</v>
      </c>
      <c r="D15" s="38">
        <v>0</v>
      </c>
      <c r="E15" s="38">
        <v>0</v>
      </c>
      <c r="F15" s="38">
        <v>0</v>
      </c>
      <c r="G15" s="44">
        <f t="shared" ref="G15:G21" si="4">(F15*24-E15*24)+(D15*24-C15*24)</f>
        <v>0</v>
      </c>
      <c r="H15" s="42">
        <f>+$H$3*24</f>
        <v>0.5</v>
      </c>
      <c r="I15" s="42">
        <f>+$I$3*24</f>
        <v>8</v>
      </c>
      <c r="J15" s="42">
        <f>G15-I15-H15</f>
        <v>-8.5</v>
      </c>
      <c r="K15" s="39"/>
      <c r="L15" s="24"/>
      <c r="M15" s="2"/>
      <c r="N15" s="56"/>
      <c r="O15" s="56"/>
      <c r="P15" s="56"/>
    </row>
    <row r="16" spans="1:16" x14ac:dyDescent="0.3">
      <c r="A16" s="4" t="s">
        <v>16</v>
      </c>
      <c r="B16" s="23">
        <v>45699</v>
      </c>
      <c r="C16" s="38">
        <v>0</v>
      </c>
      <c r="D16" s="38">
        <v>0</v>
      </c>
      <c r="E16" s="38">
        <v>0</v>
      </c>
      <c r="F16" s="38">
        <v>0</v>
      </c>
      <c r="G16" s="44">
        <f t="shared" si="4"/>
        <v>0</v>
      </c>
      <c r="H16" s="42">
        <f>+$H$3*24</f>
        <v>0.5</v>
      </c>
      <c r="I16" s="42">
        <f>+$I$3*24</f>
        <v>8</v>
      </c>
      <c r="J16" s="42">
        <f>G16-I16-H16</f>
        <v>-8.5</v>
      </c>
      <c r="K16" s="39"/>
      <c r="L16" s="24"/>
      <c r="M16" s="2"/>
      <c r="N16" s="56"/>
      <c r="O16" s="56"/>
      <c r="P16" s="56"/>
    </row>
    <row r="17" spans="1:16" x14ac:dyDescent="0.3">
      <c r="A17" s="4" t="s">
        <v>17</v>
      </c>
      <c r="B17" s="23">
        <v>45700</v>
      </c>
      <c r="C17" s="38">
        <v>0</v>
      </c>
      <c r="D17" s="38">
        <v>0</v>
      </c>
      <c r="E17" s="38">
        <v>0</v>
      </c>
      <c r="F17" s="38">
        <v>0</v>
      </c>
      <c r="G17" s="44">
        <f t="shared" si="4"/>
        <v>0</v>
      </c>
      <c r="H17" s="42">
        <f>+$H$3*24</f>
        <v>0.5</v>
      </c>
      <c r="I17" s="42">
        <f>+$I$3*24</f>
        <v>8</v>
      </c>
      <c r="J17" s="42">
        <f>G17-I17-H17</f>
        <v>-8.5</v>
      </c>
      <c r="K17" s="39"/>
      <c r="L17" s="24"/>
      <c r="M17" s="2"/>
      <c r="N17" s="56"/>
      <c r="O17" s="56"/>
      <c r="P17" s="56"/>
    </row>
    <row r="18" spans="1:16" x14ac:dyDescent="0.3">
      <c r="A18" s="4" t="s">
        <v>18</v>
      </c>
      <c r="B18" s="23">
        <v>45701</v>
      </c>
      <c r="C18" s="38">
        <v>0</v>
      </c>
      <c r="D18" s="38">
        <v>0</v>
      </c>
      <c r="E18" s="38">
        <v>0</v>
      </c>
      <c r="F18" s="38">
        <v>0</v>
      </c>
      <c r="G18" s="44">
        <f t="shared" si="4"/>
        <v>0</v>
      </c>
      <c r="H18" s="42">
        <f>+$H$3*24</f>
        <v>0.5</v>
      </c>
      <c r="I18" s="42">
        <f>+$I$3*24</f>
        <v>8</v>
      </c>
      <c r="J18" s="42">
        <f>G18-I18-H18</f>
        <v>-8.5</v>
      </c>
      <c r="K18" s="39"/>
      <c r="L18" s="24"/>
      <c r="M18" s="2"/>
      <c r="N18" s="56"/>
      <c r="O18" s="56"/>
      <c r="P18" s="56"/>
    </row>
    <row r="19" spans="1:16" x14ac:dyDescent="0.3">
      <c r="A19" s="4" t="s">
        <v>12</v>
      </c>
      <c r="B19" s="23">
        <v>45702</v>
      </c>
      <c r="C19" s="38">
        <v>0</v>
      </c>
      <c r="D19" s="38">
        <v>0</v>
      </c>
      <c r="E19" s="38">
        <v>0</v>
      </c>
      <c r="F19" s="38">
        <v>0</v>
      </c>
      <c r="G19" s="44">
        <f t="shared" si="4"/>
        <v>0</v>
      </c>
      <c r="H19" s="42">
        <f>+$H$3*24</f>
        <v>0.5</v>
      </c>
      <c r="I19" s="42">
        <f>+$I$3*24</f>
        <v>8</v>
      </c>
      <c r="J19" s="42">
        <f>G19-I19-H19</f>
        <v>-8.5</v>
      </c>
      <c r="K19" s="39"/>
      <c r="L19" s="24"/>
      <c r="M19" s="2"/>
      <c r="N19" s="56"/>
      <c r="O19" s="56"/>
      <c r="P19" s="56"/>
    </row>
    <row r="20" spans="1:16" s="41" customFormat="1" x14ac:dyDescent="0.3">
      <c r="A20" s="5" t="s">
        <v>13</v>
      </c>
      <c r="B20" s="25">
        <v>45703</v>
      </c>
      <c r="C20" s="37">
        <v>0</v>
      </c>
      <c r="D20" s="37">
        <v>0</v>
      </c>
      <c r="E20" s="37">
        <v>0</v>
      </c>
      <c r="F20" s="37">
        <v>0</v>
      </c>
      <c r="G20" s="43">
        <f t="shared" si="4"/>
        <v>0</v>
      </c>
      <c r="H20" s="43">
        <v>0</v>
      </c>
      <c r="I20" s="43">
        <v>0</v>
      </c>
      <c r="J20" s="18"/>
      <c r="K20" s="18">
        <f t="shared" ref="K20:K21" si="5">G20-I20+H20</f>
        <v>0</v>
      </c>
      <c r="L20" s="22"/>
      <c r="M20" s="40"/>
      <c r="N20" s="58"/>
      <c r="O20" s="58"/>
      <c r="P20" s="58"/>
    </row>
    <row r="21" spans="1:16" s="41" customFormat="1" x14ac:dyDescent="0.3">
      <c r="A21" s="5" t="s">
        <v>14</v>
      </c>
      <c r="B21" s="25">
        <v>45704</v>
      </c>
      <c r="C21" s="37">
        <v>0</v>
      </c>
      <c r="D21" s="37">
        <v>0</v>
      </c>
      <c r="E21" s="37">
        <v>0</v>
      </c>
      <c r="F21" s="37">
        <v>0</v>
      </c>
      <c r="G21" s="43">
        <f t="shared" si="4"/>
        <v>0</v>
      </c>
      <c r="H21" s="43">
        <v>0</v>
      </c>
      <c r="I21" s="43">
        <v>0</v>
      </c>
      <c r="J21" s="18"/>
      <c r="K21" s="18">
        <f t="shared" si="5"/>
        <v>0</v>
      </c>
      <c r="L21" s="22"/>
      <c r="M21" s="40"/>
      <c r="N21" s="58"/>
      <c r="O21" s="58"/>
      <c r="P21" s="58"/>
    </row>
    <row r="22" spans="1:16" x14ac:dyDescent="0.3">
      <c r="A22" s="4" t="s">
        <v>15</v>
      </c>
      <c r="B22" s="23">
        <v>45705</v>
      </c>
      <c r="C22" s="38">
        <v>0</v>
      </c>
      <c r="D22" s="38">
        <v>0</v>
      </c>
      <c r="E22" s="38">
        <v>0</v>
      </c>
      <c r="F22" s="38">
        <v>0</v>
      </c>
      <c r="G22" s="44">
        <f t="shared" ref="G22:G28" si="6">(F22*24-E22*24)+(D22*24-C22*24)</f>
        <v>0</v>
      </c>
      <c r="H22" s="42">
        <f>+$H$3*24</f>
        <v>0.5</v>
      </c>
      <c r="I22" s="42">
        <f>+$I$3*24</f>
        <v>8</v>
      </c>
      <c r="J22" s="42">
        <f>G22-I22-H22</f>
        <v>-8.5</v>
      </c>
      <c r="K22" s="39"/>
      <c r="L22" s="24"/>
      <c r="M22" s="2"/>
      <c r="N22" s="56"/>
      <c r="O22" s="56"/>
      <c r="P22" s="56"/>
    </row>
    <row r="23" spans="1:16" x14ac:dyDescent="0.3">
      <c r="A23" s="4" t="s">
        <v>12</v>
      </c>
      <c r="B23" s="23">
        <v>45706</v>
      </c>
      <c r="C23" s="38">
        <v>0</v>
      </c>
      <c r="D23" s="38">
        <v>0</v>
      </c>
      <c r="E23" s="38">
        <v>0</v>
      </c>
      <c r="F23" s="38">
        <v>0</v>
      </c>
      <c r="G23" s="44">
        <f t="shared" si="6"/>
        <v>0</v>
      </c>
      <c r="H23" s="42">
        <f>+$H$3*24</f>
        <v>0.5</v>
      </c>
      <c r="I23" s="42">
        <f>+$I$3*24</f>
        <v>8</v>
      </c>
      <c r="J23" s="42">
        <f>G23-I23-H23</f>
        <v>-8.5</v>
      </c>
      <c r="K23" s="39"/>
      <c r="L23" s="24"/>
      <c r="M23" s="2"/>
      <c r="N23" s="56"/>
      <c r="O23" s="56"/>
      <c r="P23" s="56"/>
    </row>
    <row r="24" spans="1:16" x14ac:dyDescent="0.3">
      <c r="A24" s="4" t="s">
        <v>17</v>
      </c>
      <c r="B24" s="23">
        <v>45707</v>
      </c>
      <c r="C24" s="38">
        <v>0</v>
      </c>
      <c r="D24" s="38">
        <v>0</v>
      </c>
      <c r="E24" s="38">
        <v>0</v>
      </c>
      <c r="F24" s="38">
        <v>0</v>
      </c>
      <c r="G24" s="44">
        <f t="shared" si="6"/>
        <v>0</v>
      </c>
      <c r="H24" s="42">
        <f>+$H$3*24</f>
        <v>0.5</v>
      </c>
      <c r="I24" s="42">
        <f>+$I$3*24</f>
        <v>8</v>
      </c>
      <c r="J24" s="42">
        <f>G24-I24-H24</f>
        <v>-8.5</v>
      </c>
      <c r="K24" s="39"/>
      <c r="L24" s="24"/>
      <c r="M24" s="2"/>
      <c r="N24" s="56"/>
      <c r="O24" s="56"/>
      <c r="P24" s="56"/>
    </row>
    <row r="25" spans="1:16" x14ac:dyDescent="0.3">
      <c r="A25" s="4" t="s">
        <v>18</v>
      </c>
      <c r="B25" s="23">
        <v>45708</v>
      </c>
      <c r="C25" s="38">
        <v>0</v>
      </c>
      <c r="D25" s="38">
        <v>0</v>
      </c>
      <c r="E25" s="38">
        <v>0</v>
      </c>
      <c r="F25" s="38">
        <v>0</v>
      </c>
      <c r="G25" s="44">
        <f t="shared" si="6"/>
        <v>0</v>
      </c>
      <c r="H25" s="42">
        <f>+$H$3*24</f>
        <v>0.5</v>
      </c>
      <c r="I25" s="42">
        <f>+$I$3*24</f>
        <v>8</v>
      </c>
      <c r="J25" s="42">
        <f>G25-I25-H25</f>
        <v>-8.5</v>
      </c>
      <c r="K25" s="39"/>
      <c r="L25" s="24"/>
      <c r="M25" s="2"/>
      <c r="N25" s="56"/>
      <c r="O25" s="56"/>
      <c r="P25" s="56"/>
    </row>
    <row r="26" spans="1:16" x14ac:dyDescent="0.3">
      <c r="A26" s="4" t="s">
        <v>12</v>
      </c>
      <c r="B26" s="23">
        <v>45709</v>
      </c>
      <c r="C26" s="38">
        <v>0</v>
      </c>
      <c r="D26" s="38">
        <v>0</v>
      </c>
      <c r="E26" s="38">
        <v>0</v>
      </c>
      <c r="F26" s="38">
        <v>0</v>
      </c>
      <c r="G26" s="44">
        <f t="shared" si="6"/>
        <v>0</v>
      </c>
      <c r="H26" s="42">
        <f>+$H$3*24</f>
        <v>0.5</v>
      </c>
      <c r="I26" s="42">
        <f>+$I$3*24</f>
        <v>8</v>
      </c>
      <c r="J26" s="42">
        <f>G26-I26-H26</f>
        <v>-8.5</v>
      </c>
      <c r="K26" s="39"/>
      <c r="L26" s="24"/>
      <c r="M26" s="2"/>
      <c r="N26" s="56"/>
      <c r="O26" s="56"/>
      <c r="P26" s="56"/>
    </row>
    <row r="27" spans="1:16" s="41" customFormat="1" x14ac:dyDescent="0.3">
      <c r="A27" s="5" t="s">
        <v>13</v>
      </c>
      <c r="B27" s="25">
        <v>45710</v>
      </c>
      <c r="C27" s="37">
        <v>0</v>
      </c>
      <c r="D27" s="37">
        <v>0</v>
      </c>
      <c r="E27" s="37">
        <v>0</v>
      </c>
      <c r="F27" s="37">
        <v>0</v>
      </c>
      <c r="G27" s="43">
        <f t="shared" si="6"/>
        <v>0</v>
      </c>
      <c r="H27" s="43">
        <v>0</v>
      </c>
      <c r="I27" s="43">
        <v>0</v>
      </c>
      <c r="J27" s="18"/>
      <c r="K27" s="18">
        <f t="shared" ref="K27:K28" si="7">G27-I27+H27</f>
        <v>0</v>
      </c>
      <c r="L27" s="22"/>
      <c r="M27" s="40"/>
      <c r="N27" s="58"/>
      <c r="O27" s="58"/>
      <c r="P27" s="58"/>
    </row>
    <row r="28" spans="1:16" s="41" customFormat="1" x14ac:dyDescent="0.3">
      <c r="A28" s="5" t="s">
        <v>14</v>
      </c>
      <c r="B28" s="25">
        <v>45711</v>
      </c>
      <c r="C28" s="37">
        <v>0</v>
      </c>
      <c r="D28" s="37">
        <v>0</v>
      </c>
      <c r="E28" s="37">
        <v>0</v>
      </c>
      <c r="F28" s="37">
        <v>0</v>
      </c>
      <c r="G28" s="43">
        <f t="shared" si="6"/>
        <v>0</v>
      </c>
      <c r="H28" s="43">
        <v>0</v>
      </c>
      <c r="I28" s="43">
        <v>0</v>
      </c>
      <c r="J28" s="18"/>
      <c r="K28" s="18">
        <f t="shared" si="7"/>
        <v>0</v>
      </c>
      <c r="L28" s="22"/>
      <c r="M28" s="40"/>
      <c r="N28" s="58"/>
      <c r="O28" s="58"/>
      <c r="P28" s="58"/>
    </row>
    <row r="29" spans="1:16" x14ac:dyDescent="0.3">
      <c r="A29" s="4" t="s">
        <v>15</v>
      </c>
      <c r="B29" s="23">
        <v>45712</v>
      </c>
      <c r="C29" s="38">
        <v>0</v>
      </c>
      <c r="D29" s="38">
        <v>0</v>
      </c>
      <c r="E29" s="38">
        <v>0</v>
      </c>
      <c r="F29" s="38">
        <v>0</v>
      </c>
      <c r="G29" s="44">
        <f t="shared" ref="G29:G33" si="8">(F29*24-E29*24)+(D29*24-C29*24)</f>
        <v>0</v>
      </c>
      <c r="H29" s="42">
        <f>+$H$3*24</f>
        <v>0.5</v>
      </c>
      <c r="I29" s="42">
        <f>+$I$3*24</f>
        <v>8</v>
      </c>
      <c r="J29" s="42">
        <f>G29-I29-H29</f>
        <v>-8.5</v>
      </c>
      <c r="K29" s="39"/>
      <c r="L29" s="24"/>
      <c r="M29" s="2"/>
      <c r="N29" s="56"/>
      <c r="O29" s="56"/>
      <c r="P29" s="56"/>
    </row>
    <row r="30" spans="1:16" x14ac:dyDescent="0.3">
      <c r="A30" s="4" t="s">
        <v>16</v>
      </c>
      <c r="B30" s="23">
        <v>45713</v>
      </c>
      <c r="C30" s="38">
        <v>0</v>
      </c>
      <c r="D30" s="38">
        <v>0</v>
      </c>
      <c r="E30" s="38">
        <v>0</v>
      </c>
      <c r="F30" s="38">
        <v>0</v>
      </c>
      <c r="G30" s="44">
        <f t="shared" si="8"/>
        <v>0</v>
      </c>
      <c r="H30" s="42">
        <f>+$H$3*24</f>
        <v>0.5</v>
      </c>
      <c r="I30" s="42">
        <f>+$I$3*24</f>
        <v>8</v>
      </c>
      <c r="J30" s="42">
        <f>G30-I30-H30</f>
        <v>-8.5</v>
      </c>
      <c r="K30" s="39"/>
      <c r="L30" s="24"/>
      <c r="M30" s="2"/>
      <c r="N30" s="56"/>
      <c r="O30" s="56"/>
      <c r="P30" s="56"/>
    </row>
    <row r="31" spans="1:16" x14ac:dyDescent="0.3">
      <c r="A31" s="4" t="s">
        <v>17</v>
      </c>
      <c r="B31" s="23">
        <v>45714</v>
      </c>
      <c r="C31" s="38">
        <v>0</v>
      </c>
      <c r="D31" s="38">
        <v>0</v>
      </c>
      <c r="E31" s="38">
        <v>0</v>
      </c>
      <c r="F31" s="38">
        <v>0</v>
      </c>
      <c r="G31" s="44">
        <f t="shared" si="8"/>
        <v>0</v>
      </c>
      <c r="H31" s="42">
        <f>+$H$3*24</f>
        <v>0.5</v>
      </c>
      <c r="I31" s="42">
        <f>+$I$3*24</f>
        <v>8</v>
      </c>
      <c r="J31" s="42">
        <f>G31-I31-H31</f>
        <v>-8.5</v>
      </c>
      <c r="K31" s="39"/>
      <c r="L31" s="24"/>
      <c r="M31" s="2"/>
      <c r="N31" s="56"/>
      <c r="O31" s="56"/>
      <c r="P31" s="56"/>
    </row>
    <row r="32" spans="1:16" x14ac:dyDescent="0.3">
      <c r="A32" s="4" t="s">
        <v>18</v>
      </c>
      <c r="B32" s="23">
        <v>45715</v>
      </c>
      <c r="C32" s="38">
        <v>0</v>
      </c>
      <c r="D32" s="38">
        <v>0</v>
      </c>
      <c r="E32" s="38">
        <v>0</v>
      </c>
      <c r="F32" s="38">
        <v>0</v>
      </c>
      <c r="G32" s="44">
        <f t="shared" si="8"/>
        <v>0</v>
      </c>
      <c r="H32" s="42">
        <f>+$H$3*24</f>
        <v>0.5</v>
      </c>
      <c r="I32" s="42">
        <f>+$I$3*24</f>
        <v>8</v>
      </c>
      <c r="J32" s="42">
        <f>G32-I32-H32</f>
        <v>-8.5</v>
      </c>
      <c r="K32" s="39"/>
      <c r="L32" s="24"/>
      <c r="M32" s="2"/>
      <c r="N32" s="56"/>
      <c r="O32" s="56"/>
      <c r="P32" s="56"/>
    </row>
    <row r="33" spans="1:16" ht="17.25" thickBot="1" x14ac:dyDescent="0.35">
      <c r="A33" s="4" t="s">
        <v>12</v>
      </c>
      <c r="B33" s="27">
        <v>45716</v>
      </c>
      <c r="C33" s="47">
        <v>0</v>
      </c>
      <c r="D33" s="47">
        <v>0</v>
      </c>
      <c r="E33" s="47">
        <v>0</v>
      </c>
      <c r="F33" s="47">
        <v>0</v>
      </c>
      <c r="G33" s="48">
        <f t="shared" si="8"/>
        <v>0</v>
      </c>
      <c r="H33" s="49">
        <f>+$H$3*24</f>
        <v>0.5</v>
      </c>
      <c r="I33" s="49">
        <f>+$I$3*24</f>
        <v>8</v>
      </c>
      <c r="J33" s="49">
        <f>G33-I33-H33</f>
        <v>-8.5</v>
      </c>
      <c r="K33" s="50"/>
      <c r="L33" s="28"/>
      <c r="M33" s="2"/>
      <c r="N33" s="56"/>
      <c r="O33" s="56"/>
      <c r="P33" s="56"/>
    </row>
    <row r="34" spans="1:16" x14ac:dyDescent="0.3">
      <c r="A34" s="13"/>
      <c r="B34" s="12"/>
      <c r="C34" s="2"/>
      <c r="D34" s="2"/>
      <c r="E34" s="2"/>
      <c r="F34" s="8"/>
      <c r="G34" s="9">
        <f>SUM(G6:G33)</f>
        <v>8.8333333333333321</v>
      </c>
      <c r="H34" s="10">
        <f>SUM(H6:H33)</f>
        <v>10</v>
      </c>
      <c r="I34" s="11">
        <f>SUM(I6:I33)</f>
        <v>160</v>
      </c>
      <c r="J34" s="9">
        <f>SUM(J6:J33)</f>
        <v>-161.16666666666669</v>
      </c>
      <c r="K34" s="9">
        <f>SUM(K6:K33)</f>
        <v>0</v>
      </c>
      <c r="L34" s="2"/>
      <c r="M34" s="2"/>
    </row>
    <row r="35" spans="1:16" x14ac:dyDescent="0.3">
      <c r="A35" s="14"/>
      <c r="B35" s="12"/>
    </row>
    <row r="36" spans="1:16" x14ac:dyDescent="0.3">
      <c r="B36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0C36-CFF9-4F1B-8C92-BAA678CDFDE6}">
  <sheetPr>
    <pageSetUpPr fitToPage="1"/>
  </sheetPr>
  <dimension ref="A1:P39"/>
  <sheetViews>
    <sheetView workbookViewId="0">
      <selection activeCell="Q10" sqref="Q10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4" width="11.42578125" style="1"/>
    <col min="15" max="15" width="10.5703125" style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31</v>
      </c>
      <c r="G3" s="2"/>
      <c r="H3" s="52">
        <v>2.0833333333333332E-2</v>
      </c>
      <c r="I3" s="53">
        <v>0.33333333333333331</v>
      </c>
      <c r="J3" s="2"/>
      <c r="K3" s="2"/>
      <c r="N3" s="59">
        <f>J37</f>
        <v>0</v>
      </c>
      <c r="O3" s="59">
        <f>K37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0</v>
      </c>
      <c r="O5" s="71">
        <f>+O3*O1</f>
        <v>0</v>
      </c>
      <c r="P5" s="71">
        <f>+O5+N5</f>
        <v>0</v>
      </c>
    </row>
    <row r="6" spans="1:16" s="41" customFormat="1" x14ac:dyDescent="0.3">
      <c r="A6" s="5" t="s">
        <v>13</v>
      </c>
      <c r="B6" s="25">
        <v>45717</v>
      </c>
      <c r="C6" s="37">
        <v>0</v>
      </c>
      <c r="D6" s="37">
        <v>0</v>
      </c>
      <c r="E6" s="37">
        <v>0</v>
      </c>
      <c r="F6" s="37">
        <v>0</v>
      </c>
      <c r="G6" s="43">
        <f t="shared" ref="G6:G7" si="0">(F6*24-E6*24)+(D6*24-C6*24)</f>
        <v>0</v>
      </c>
      <c r="H6" s="43">
        <v>0</v>
      </c>
      <c r="I6" s="43">
        <v>0</v>
      </c>
      <c r="J6" s="18"/>
      <c r="K6" s="18">
        <f t="shared" ref="K6:K7" si="1">G6-I6+H6</f>
        <v>0</v>
      </c>
      <c r="L6" s="22"/>
      <c r="M6" s="40"/>
      <c r="N6" s="58"/>
      <c r="O6" s="58"/>
      <c r="P6" s="58"/>
    </row>
    <row r="7" spans="1:16" s="41" customFormat="1" x14ac:dyDescent="0.3">
      <c r="A7" s="5" t="s">
        <v>14</v>
      </c>
      <c r="B7" s="25">
        <v>45718</v>
      </c>
      <c r="C7" s="37">
        <v>0</v>
      </c>
      <c r="D7" s="37">
        <v>0</v>
      </c>
      <c r="E7" s="37">
        <v>0</v>
      </c>
      <c r="F7" s="37">
        <v>0</v>
      </c>
      <c r="G7" s="43">
        <f t="shared" si="0"/>
        <v>0</v>
      </c>
      <c r="H7" s="43">
        <v>0</v>
      </c>
      <c r="I7" s="43">
        <v>0</v>
      </c>
      <c r="J7" s="18"/>
      <c r="K7" s="18">
        <f t="shared" si="1"/>
        <v>0</v>
      </c>
      <c r="L7" s="22"/>
      <c r="M7" s="40"/>
      <c r="N7" s="58"/>
      <c r="O7" s="58"/>
      <c r="P7" s="58"/>
    </row>
    <row r="8" spans="1:16" x14ac:dyDescent="0.3">
      <c r="A8" s="4" t="s">
        <v>15</v>
      </c>
      <c r="B8" s="23">
        <v>45719</v>
      </c>
      <c r="C8" s="38">
        <v>0</v>
      </c>
      <c r="D8" s="38">
        <v>0</v>
      </c>
      <c r="E8" s="38">
        <v>0</v>
      </c>
      <c r="F8" s="38">
        <v>0</v>
      </c>
      <c r="G8" s="44">
        <f t="shared" ref="G8:G14" si="2">(F8*24-E8*24)+(D8*24-C8*24)</f>
        <v>0</v>
      </c>
      <c r="H8" s="42">
        <f>+$H$3*24</f>
        <v>0.5</v>
      </c>
      <c r="I8" s="42">
        <f>+$I$3*24</f>
        <v>8</v>
      </c>
      <c r="J8" s="42">
        <f>G8-I8-H8</f>
        <v>-8.5</v>
      </c>
      <c r="K8" s="39"/>
      <c r="L8" s="24"/>
      <c r="M8" s="2"/>
      <c r="N8" s="56"/>
      <c r="O8" s="56"/>
      <c r="P8" s="56"/>
    </row>
    <row r="9" spans="1:16" x14ac:dyDescent="0.3">
      <c r="A9" s="4" t="s">
        <v>16</v>
      </c>
      <c r="B9" s="23">
        <v>45720</v>
      </c>
      <c r="C9" s="38">
        <v>0</v>
      </c>
      <c r="D9" s="38">
        <v>0</v>
      </c>
      <c r="E9" s="38">
        <v>0</v>
      </c>
      <c r="F9" s="38">
        <v>0</v>
      </c>
      <c r="G9" s="44">
        <f t="shared" si="2"/>
        <v>0</v>
      </c>
      <c r="H9" s="42">
        <f>+$H$3*24</f>
        <v>0.5</v>
      </c>
      <c r="I9" s="42">
        <f>+$I$3*24</f>
        <v>8</v>
      </c>
      <c r="J9" s="42">
        <f>G9-I9-H9</f>
        <v>-8.5</v>
      </c>
      <c r="K9" s="39"/>
      <c r="L9" s="24"/>
      <c r="M9" s="2"/>
      <c r="N9" s="56"/>
      <c r="O9" s="56"/>
      <c r="P9" s="56"/>
    </row>
    <row r="10" spans="1:16" x14ac:dyDescent="0.3">
      <c r="A10" s="4" t="s">
        <v>17</v>
      </c>
      <c r="B10" s="23">
        <v>45721</v>
      </c>
      <c r="C10" s="38">
        <v>0</v>
      </c>
      <c r="D10" s="38">
        <v>0</v>
      </c>
      <c r="E10" s="38">
        <v>0</v>
      </c>
      <c r="F10" s="38">
        <v>0</v>
      </c>
      <c r="G10" s="44">
        <f t="shared" si="2"/>
        <v>0</v>
      </c>
      <c r="H10" s="42">
        <f>+$H$3*24</f>
        <v>0.5</v>
      </c>
      <c r="I10" s="42">
        <f>+$I$3*24</f>
        <v>8</v>
      </c>
      <c r="J10" s="42">
        <f>G10-I10-H10</f>
        <v>-8.5</v>
      </c>
      <c r="K10" s="39"/>
      <c r="L10" s="24"/>
      <c r="M10" s="2"/>
      <c r="N10" s="56"/>
      <c r="O10" s="56"/>
      <c r="P10" s="56"/>
    </row>
    <row r="11" spans="1:16" x14ac:dyDescent="0.3">
      <c r="A11" s="4" t="s">
        <v>18</v>
      </c>
      <c r="B11" s="23">
        <v>45722</v>
      </c>
      <c r="C11" s="38">
        <v>0</v>
      </c>
      <c r="D11" s="38">
        <v>0</v>
      </c>
      <c r="E11" s="38">
        <v>0</v>
      </c>
      <c r="F11" s="38">
        <v>0</v>
      </c>
      <c r="G11" s="44">
        <f t="shared" si="2"/>
        <v>0</v>
      </c>
      <c r="H11" s="42">
        <f>+$H$3*24</f>
        <v>0.5</v>
      </c>
      <c r="I11" s="42">
        <f>+$I$3*24</f>
        <v>8</v>
      </c>
      <c r="J11" s="42">
        <f>G11-I11-H11</f>
        <v>-8.5</v>
      </c>
      <c r="K11" s="39"/>
      <c r="L11" s="24"/>
      <c r="M11" s="2"/>
      <c r="N11" s="56"/>
      <c r="O11" s="56"/>
      <c r="P11" s="56"/>
    </row>
    <row r="12" spans="1:16" x14ac:dyDescent="0.3">
      <c r="A12" s="4" t="s">
        <v>12</v>
      </c>
      <c r="B12" s="23">
        <v>45723</v>
      </c>
      <c r="C12" s="38">
        <v>0</v>
      </c>
      <c r="D12" s="38">
        <v>0</v>
      </c>
      <c r="E12" s="38">
        <v>0</v>
      </c>
      <c r="F12" s="38">
        <v>0</v>
      </c>
      <c r="G12" s="44">
        <f t="shared" si="2"/>
        <v>0</v>
      </c>
      <c r="H12" s="42">
        <f>+$H$3*24</f>
        <v>0.5</v>
      </c>
      <c r="I12" s="42">
        <f>+$I$3*24</f>
        <v>8</v>
      </c>
      <c r="J12" s="42">
        <f>G12-I12-H12</f>
        <v>-8.5</v>
      </c>
      <c r="K12" s="39"/>
      <c r="L12" s="24"/>
      <c r="M12" s="2"/>
      <c r="N12" s="56"/>
      <c r="O12" s="56"/>
      <c r="P12" s="56"/>
    </row>
    <row r="13" spans="1:16" s="41" customFormat="1" x14ac:dyDescent="0.3">
      <c r="A13" s="5" t="s">
        <v>13</v>
      </c>
      <c r="B13" s="25">
        <v>45724</v>
      </c>
      <c r="C13" s="37">
        <v>0</v>
      </c>
      <c r="D13" s="37">
        <v>0</v>
      </c>
      <c r="E13" s="37">
        <v>0</v>
      </c>
      <c r="F13" s="37">
        <v>0</v>
      </c>
      <c r="G13" s="43">
        <f t="shared" si="2"/>
        <v>0</v>
      </c>
      <c r="H13" s="43">
        <v>0</v>
      </c>
      <c r="I13" s="43">
        <v>0</v>
      </c>
      <c r="J13" s="18"/>
      <c r="K13" s="18">
        <f t="shared" ref="K13:K14" si="3">G13-I13+H13</f>
        <v>0</v>
      </c>
      <c r="L13" s="22"/>
      <c r="M13" s="40"/>
      <c r="N13" s="58"/>
      <c r="O13" s="58"/>
      <c r="P13" s="58"/>
    </row>
    <row r="14" spans="1:16" s="41" customFormat="1" x14ac:dyDescent="0.3">
      <c r="A14" s="5" t="s">
        <v>14</v>
      </c>
      <c r="B14" s="25">
        <v>45725</v>
      </c>
      <c r="C14" s="37">
        <v>0</v>
      </c>
      <c r="D14" s="37">
        <v>0</v>
      </c>
      <c r="E14" s="37">
        <v>0</v>
      </c>
      <c r="F14" s="37">
        <v>0</v>
      </c>
      <c r="G14" s="43">
        <f t="shared" si="2"/>
        <v>0</v>
      </c>
      <c r="H14" s="43">
        <v>0</v>
      </c>
      <c r="I14" s="43">
        <v>0</v>
      </c>
      <c r="J14" s="18"/>
      <c r="K14" s="18">
        <f t="shared" si="3"/>
        <v>0</v>
      </c>
      <c r="L14" s="22"/>
      <c r="M14" s="40"/>
      <c r="N14" s="58"/>
      <c r="O14" s="58"/>
      <c r="P14" s="58"/>
    </row>
    <row r="15" spans="1:16" x14ac:dyDescent="0.3">
      <c r="A15" s="4" t="s">
        <v>15</v>
      </c>
      <c r="B15" s="23">
        <v>45726</v>
      </c>
      <c r="C15" s="38">
        <v>0</v>
      </c>
      <c r="D15" s="38">
        <v>0</v>
      </c>
      <c r="E15" s="38">
        <v>0</v>
      </c>
      <c r="F15" s="38">
        <v>0</v>
      </c>
      <c r="G15" s="44">
        <f t="shared" ref="G15:G21" si="4">(F15*24-E15*24)+(D15*24-C15*24)</f>
        <v>0</v>
      </c>
      <c r="H15" s="42">
        <f>+$H$3*24</f>
        <v>0.5</v>
      </c>
      <c r="I15" s="42">
        <f>+$I$3*24</f>
        <v>8</v>
      </c>
      <c r="J15" s="42">
        <f>G15-I15-H15</f>
        <v>-8.5</v>
      </c>
      <c r="K15" s="39"/>
      <c r="L15" s="24"/>
      <c r="M15" s="2"/>
      <c r="N15" s="56"/>
      <c r="O15" s="56"/>
      <c r="P15" s="56"/>
    </row>
    <row r="16" spans="1:16" x14ac:dyDescent="0.3">
      <c r="A16" s="4" t="s">
        <v>16</v>
      </c>
      <c r="B16" s="23">
        <v>45727</v>
      </c>
      <c r="C16" s="38">
        <v>0</v>
      </c>
      <c r="D16" s="38">
        <v>0</v>
      </c>
      <c r="E16" s="38">
        <v>0</v>
      </c>
      <c r="F16" s="38">
        <v>0</v>
      </c>
      <c r="G16" s="44">
        <f t="shared" si="4"/>
        <v>0</v>
      </c>
      <c r="H16" s="42">
        <f>+$H$3*24</f>
        <v>0.5</v>
      </c>
      <c r="I16" s="42">
        <f>+$I$3*24</f>
        <v>8</v>
      </c>
      <c r="J16" s="42">
        <f>G16-I16-H16</f>
        <v>-8.5</v>
      </c>
      <c r="K16" s="39"/>
      <c r="L16" s="24"/>
      <c r="M16" s="2"/>
      <c r="N16" s="56"/>
      <c r="O16" s="56"/>
      <c r="P16" s="56"/>
    </row>
    <row r="17" spans="1:16" x14ac:dyDescent="0.3">
      <c r="A17" s="4" t="s">
        <v>17</v>
      </c>
      <c r="B17" s="23">
        <v>45728</v>
      </c>
      <c r="C17" s="38">
        <v>0</v>
      </c>
      <c r="D17" s="38">
        <v>0</v>
      </c>
      <c r="E17" s="38">
        <v>0</v>
      </c>
      <c r="F17" s="38">
        <v>0</v>
      </c>
      <c r="G17" s="44">
        <f t="shared" si="4"/>
        <v>0</v>
      </c>
      <c r="H17" s="42">
        <f>+$H$3*24</f>
        <v>0.5</v>
      </c>
      <c r="I17" s="42">
        <f>+$I$3*24</f>
        <v>8</v>
      </c>
      <c r="J17" s="42">
        <f>G17-I17-H17</f>
        <v>-8.5</v>
      </c>
      <c r="K17" s="39"/>
      <c r="L17" s="24"/>
      <c r="M17" s="2"/>
      <c r="N17" s="56"/>
      <c r="O17" s="56"/>
      <c r="P17" s="56"/>
    </row>
    <row r="18" spans="1:16" x14ac:dyDescent="0.3">
      <c r="A18" s="4" t="s">
        <v>18</v>
      </c>
      <c r="B18" s="23">
        <v>45729</v>
      </c>
      <c r="C18" s="38">
        <v>0</v>
      </c>
      <c r="D18" s="38">
        <v>0</v>
      </c>
      <c r="E18" s="38">
        <v>0</v>
      </c>
      <c r="F18" s="38">
        <v>0</v>
      </c>
      <c r="G18" s="44">
        <f t="shared" si="4"/>
        <v>0</v>
      </c>
      <c r="H18" s="42">
        <f>+$H$3*24</f>
        <v>0.5</v>
      </c>
      <c r="I18" s="42">
        <f>+$I$3*24</f>
        <v>8</v>
      </c>
      <c r="J18" s="42">
        <f>G18-I18-H18</f>
        <v>-8.5</v>
      </c>
      <c r="K18" s="39"/>
      <c r="L18" s="24"/>
      <c r="M18" s="2"/>
      <c r="N18" s="56"/>
      <c r="O18" s="56"/>
      <c r="P18" s="56"/>
    </row>
    <row r="19" spans="1:16" x14ac:dyDescent="0.3">
      <c r="A19" s="4" t="s">
        <v>12</v>
      </c>
      <c r="B19" s="23">
        <v>45730</v>
      </c>
      <c r="C19" s="38">
        <v>0</v>
      </c>
      <c r="D19" s="38">
        <v>0</v>
      </c>
      <c r="E19" s="38">
        <v>0</v>
      </c>
      <c r="F19" s="38">
        <v>0</v>
      </c>
      <c r="G19" s="44">
        <f t="shared" si="4"/>
        <v>0</v>
      </c>
      <c r="H19" s="42">
        <f>+$H$3*24</f>
        <v>0.5</v>
      </c>
      <c r="I19" s="42">
        <f>+$I$3*24</f>
        <v>8</v>
      </c>
      <c r="J19" s="42">
        <f>G19-I19-H19</f>
        <v>-8.5</v>
      </c>
      <c r="K19" s="39"/>
      <c r="L19" s="24"/>
      <c r="M19" s="2"/>
      <c r="N19" s="56"/>
      <c r="O19" s="56"/>
      <c r="P19" s="56"/>
    </row>
    <row r="20" spans="1:16" s="41" customFormat="1" x14ac:dyDescent="0.3">
      <c r="A20" s="5" t="s">
        <v>13</v>
      </c>
      <c r="B20" s="25">
        <v>45731</v>
      </c>
      <c r="C20" s="37">
        <v>0</v>
      </c>
      <c r="D20" s="37">
        <v>0</v>
      </c>
      <c r="E20" s="37">
        <v>0</v>
      </c>
      <c r="F20" s="37">
        <v>0</v>
      </c>
      <c r="G20" s="43">
        <f t="shared" si="4"/>
        <v>0</v>
      </c>
      <c r="H20" s="43">
        <v>0</v>
      </c>
      <c r="I20" s="43">
        <v>0</v>
      </c>
      <c r="J20" s="18"/>
      <c r="K20" s="18">
        <f t="shared" ref="K20:K21" si="5">G20-I20+H20</f>
        <v>0</v>
      </c>
      <c r="L20" s="22"/>
      <c r="M20" s="40"/>
      <c r="N20" s="58"/>
      <c r="O20" s="58"/>
      <c r="P20" s="58"/>
    </row>
    <row r="21" spans="1:16" s="41" customFormat="1" x14ac:dyDescent="0.3">
      <c r="A21" s="5" t="s">
        <v>14</v>
      </c>
      <c r="B21" s="25">
        <v>45732</v>
      </c>
      <c r="C21" s="37">
        <v>0</v>
      </c>
      <c r="D21" s="37">
        <v>0</v>
      </c>
      <c r="E21" s="37">
        <v>0</v>
      </c>
      <c r="F21" s="37">
        <v>0</v>
      </c>
      <c r="G21" s="43">
        <f t="shared" si="4"/>
        <v>0</v>
      </c>
      <c r="H21" s="43">
        <v>0</v>
      </c>
      <c r="I21" s="43">
        <v>0</v>
      </c>
      <c r="J21" s="18"/>
      <c r="K21" s="18">
        <f t="shared" si="5"/>
        <v>0</v>
      </c>
      <c r="L21" s="22"/>
      <c r="M21" s="40"/>
      <c r="N21" s="58"/>
      <c r="O21" s="58"/>
      <c r="P21" s="58"/>
    </row>
    <row r="22" spans="1:16" x14ac:dyDescent="0.3">
      <c r="A22" s="4" t="s">
        <v>15</v>
      </c>
      <c r="B22" s="23">
        <v>45733</v>
      </c>
      <c r="C22" s="38">
        <v>0</v>
      </c>
      <c r="D22" s="38">
        <v>0</v>
      </c>
      <c r="E22" s="38">
        <v>0</v>
      </c>
      <c r="F22" s="38">
        <v>0</v>
      </c>
      <c r="G22" s="44">
        <f t="shared" ref="G22:G28" si="6">(F22*24-E22*24)+(D22*24-C22*24)</f>
        <v>0</v>
      </c>
      <c r="H22" s="42">
        <f>+$H$3*24</f>
        <v>0.5</v>
      </c>
      <c r="I22" s="42">
        <f>+$I$3*24</f>
        <v>8</v>
      </c>
      <c r="J22" s="42">
        <f>G22-I22-H22</f>
        <v>-8.5</v>
      </c>
      <c r="K22" s="39"/>
      <c r="L22" s="24"/>
      <c r="M22" s="2"/>
    </row>
    <row r="23" spans="1:16" x14ac:dyDescent="0.3">
      <c r="A23" s="4" t="s">
        <v>16</v>
      </c>
      <c r="B23" s="23">
        <v>45734</v>
      </c>
      <c r="C23" s="38">
        <v>0</v>
      </c>
      <c r="D23" s="38">
        <v>0</v>
      </c>
      <c r="E23" s="38">
        <v>0</v>
      </c>
      <c r="F23" s="38">
        <v>0</v>
      </c>
      <c r="G23" s="44">
        <f t="shared" si="6"/>
        <v>0</v>
      </c>
      <c r="H23" s="42">
        <f>+$H$3*24</f>
        <v>0.5</v>
      </c>
      <c r="I23" s="42">
        <f>+$I$3*24</f>
        <v>8</v>
      </c>
      <c r="J23" s="42">
        <f>G23-I23-H23</f>
        <v>-8.5</v>
      </c>
      <c r="K23" s="39"/>
      <c r="L23" s="24"/>
      <c r="M23" s="2"/>
    </row>
    <row r="24" spans="1:16" x14ac:dyDescent="0.3">
      <c r="A24" s="4" t="s">
        <v>17</v>
      </c>
      <c r="B24" s="23">
        <v>45735</v>
      </c>
      <c r="C24" s="38">
        <v>0</v>
      </c>
      <c r="D24" s="38">
        <v>0</v>
      </c>
      <c r="E24" s="38">
        <v>0</v>
      </c>
      <c r="F24" s="38">
        <v>0</v>
      </c>
      <c r="G24" s="44">
        <f t="shared" si="6"/>
        <v>0</v>
      </c>
      <c r="H24" s="42">
        <f>+$H$3*24</f>
        <v>0.5</v>
      </c>
      <c r="I24" s="42">
        <f>+$I$3*24</f>
        <v>8</v>
      </c>
      <c r="J24" s="42">
        <f>G24-I24-H24</f>
        <v>-8.5</v>
      </c>
      <c r="K24" s="39"/>
      <c r="L24" s="24"/>
      <c r="M24" s="2"/>
    </row>
    <row r="25" spans="1:16" x14ac:dyDescent="0.3">
      <c r="A25" s="4" t="s">
        <v>18</v>
      </c>
      <c r="B25" s="23">
        <v>45736</v>
      </c>
      <c r="C25" s="38">
        <v>0</v>
      </c>
      <c r="D25" s="38">
        <v>0</v>
      </c>
      <c r="E25" s="38">
        <v>0</v>
      </c>
      <c r="F25" s="38">
        <v>0</v>
      </c>
      <c r="G25" s="44">
        <f t="shared" si="6"/>
        <v>0</v>
      </c>
      <c r="H25" s="42">
        <f>+$H$3*24</f>
        <v>0.5</v>
      </c>
      <c r="I25" s="42">
        <f>+$I$3*24</f>
        <v>8</v>
      </c>
      <c r="J25" s="42">
        <f>G25-I25-H25</f>
        <v>-8.5</v>
      </c>
      <c r="K25" s="39"/>
      <c r="L25" s="24"/>
      <c r="M25" s="2"/>
    </row>
    <row r="26" spans="1:16" x14ac:dyDescent="0.3">
      <c r="A26" s="4" t="s">
        <v>12</v>
      </c>
      <c r="B26" s="23">
        <v>45737</v>
      </c>
      <c r="C26" s="38">
        <v>0</v>
      </c>
      <c r="D26" s="38">
        <v>0</v>
      </c>
      <c r="E26" s="38">
        <v>0</v>
      </c>
      <c r="F26" s="38">
        <v>0</v>
      </c>
      <c r="G26" s="44">
        <f t="shared" si="6"/>
        <v>0</v>
      </c>
      <c r="H26" s="42">
        <f>+$H$3*24</f>
        <v>0.5</v>
      </c>
      <c r="I26" s="42">
        <f>+$I$3*24</f>
        <v>8</v>
      </c>
      <c r="J26" s="42">
        <f>G26-I26-H26</f>
        <v>-8.5</v>
      </c>
      <c r="K26" s="39"/>
      <c r="L26" s="24"/>
      <c r="M26" s="2"/>
    </row>
    <row r="27" spans="1:16" s="41" customFormat="1" x14ac:dyDescent="0.3">
      <c r="A27" s="5" t="s">
        <v>13</v>
      </c>
      <c r="B27" s="25">
        <v>45738</v>
      </c>
      <c r="C27" s="37">
        <v>0</v>
      </c>
      <c r="D27" s="37">
        <v>0</v>
      </c>
      <c r="E27" s="37">
        <v>0</v>
      </c>
      <c r="F27" s="37">
        <v>0</v>
      </c>
      <c r="G27" s="43">
        <f t="shared" si="6"/>
        <v>0</v>
      </c>
      <c r="H27" s="43">
        <v>0</v>
      </c>
      <c r="I27" s="43">
        <v>0</v>
      </c>
      <c r="J27" s="18"/>
      <c r="K27" s="18">
        <f t="shared" ref="K27:K28" si="7">G27-I27+H27</f>
        <v>0</v>
      </c>
      <c r="L27" s="22"/>
      <c r="M27" s="40"/>
      <c r="N27" s="58"/>
      <c r="O27" s="58"/>
      <c r="P27" s="58"/>
    </row>
    <row r="28" spans="1:16" s="41" customFormat="1" x14ac:dyDescent="0.3">
      <c r="A28" s="5" t="s">
        <v>14</v>
      </c>
      <c r="B28" s="25">
        <v>45739</v>
      </c>
      <c r="C28" s="37">
        <v>0</v>
      </c>
      <c r="D28" s="37">
        <v>0</v>
      </c>
      <c r="E28" s="37">
        <v>0</v>
      </c>
      <c r="F28" s="37">
        <v>0</v>
      </c>
      <c r="G28" s="43">
        <f t="shared" si="6"/>
        <v>0</v>
      </c>
      <c r="H28" s="43">
        <v>0</v>
      </c>
      <c r="I28" s="43">
        <v>0</v>
      </c>
      <c r="J28" s="18"/>
      <c r="K28" s="18">
        <f t="shared" si="7"/>
        <v>0</v>
      </c>
      <c r="L28" s="22"/>
      <c r="M28" s="40"/>
      <c r="N28" s="58"/>
      <c r="O28" s="58"/>
      <c r="P28" s="58"/>
    </row>
    <row r="29" spans="1:16" x14ac:dyDescent="0.3">
      <c r="A29" s="4" t="s">
        <v>15</v>
      </c>
      <c r="B29" s="23">
        <v>45740</v>
      </c>
      <c r="C29" s="38">
        <v>0</v>
      </c>
      <c r="D29" s="38">
        <v>0</v>
      </c>
      <c r="E29" s="38">
        <v>0</v>
      </c>
      <c r="F29" s="38">
        <v>0</v>
      </c>
      <c r="G29" s="44">
        <f t="shared" ref="G29:G35" si="8">(F29*24-E29*24)+(D29*24-C29*24)</f>
        <v>0</v>
      </c>
      <c r="H29" s="42">
        <f>+$H$3*24</f>
        <v>0.5</v>
      </c>
      <c r="I29" s="42">
        <f>+$I$3*24</f>
        <v>8</v>
      </c>
      <c r="J29" s="42">
        <f>G29-I29-H29</f>
        <v>-8.5</v>
      </c>
      <c r="K29" s="39"/>
      <c r="L29" s="24"/>
      <c r="M29" s="2"/>
    </row>
    <row r="30" spans="1:16" x14ac:dyDescent="0.3">
      <c r="A30" s="4" t="s">
        <v>16</v>
      </c>
      <c r="B30" s="23">
        <v>45741</v>
      </c>
      <c r="C30" s="38">
        <v>0</v>
      </c>
      <c r="D30" s="38">
        <v>0</v>
      </c>
      <c r="E30" s="38">
        <v>0</v>
      </c>
      <c r="F30" s="38">
        <v>0</v>
      </c>
      <c r="G30" s="44">
        <f t="shared" si="8"/>
        <v>0</v>
      </c>
      <c r="H30" s="42">
        <f>+$H$3*24</f>
        <v>0.5</v>
      </c>
      <c r="I30" s="42">
        <f>+$I$3*24</f>
        <v>8</v>
      </c>
      <c r="J30" s="42">
        <f>G30-I30-H30</f>
        <v>-8.5</v>
      </c>
      <c r="K30" s="39"/>
      <c r="L30" s="24"/>
      <c r="M30" s="2"/>
    </row>
    <row r="31" spans="1:16" x14ac:dyDescent="0.3">
      <c r="A31" s="4" t="s">
        <v>17</v>
      </c>
      <c r="B31" s="23">
        <v>45742</v>
      </c>
      <c r="C31" s="38">
        <v>0</v>
      </c>
      <c r="D31" s="38">
        <v>0</v>
      </c>
      <c r="E31" s="38">
        <v>0</v>
      </c>
      <c r="F31" s="38">
        <v>0</v>
      </c>
      <c r="G31" s="44">
        <f t="shared" si="8"/>
        <v>0</v>
      </c>
      <c r="H31" s="42">
        <f>+$H$3*24</f>
        <v>0.5</v>
      </c>
      <c r="I31" s="42">
        <f>+$I$3*24</f>
        <v>8</v>
      </c>
      <c r="J31" s="42">
        <f>G31-I31-H31</f>
        <v>-8.5</v>
      </c>
      <c r="K31" s="39"/>
      <c r="L31" s="24"/>
      <c r="M31" s="2"/>
    </row>
    <row r="32" spans="1:16" x14ac:dyDescent="0.3">
      <c r="A32" s="4" t="s">
        <v>18</v>
      </c>
      <c r="B32" s="23">
        <v>45743</v>
      </c>
      <c r="C32" s="38">
        <v>0</v>
      </c>
      <c r="D32" s="38">
        <v>0</v>
      </c>
      <c r="E32" s="38">
        <v>0</v>
      </c>
      <c r="F32" s="38">
        <v>0</v>
      </c>
      <c r="G32" s="44">
        <f t="shared" si="8"/>
        <v>0</v>
      </c>
      <c r="H32" s="42">
        <f>+$H$3*24</f>
        <v>0.5</v>
      </c>
      <c r="I32" s="42">
        <f>+$I$3*24</f>
        <v>8</v>
      </c>
      <c r="J32" s="42">
        <f>G32-I32-H32</f>
        <v>-8.5</v>
      </c>
      <c r="K32" s="39"/>
      <c r="L32" s="24"/>
      <c r="M32" s="2"/>
    </row>
    <row r="33" spans="1:16" x14ac:dyDescent="0.3">
      <c r="A33" s="4" t="s">
        <v>12</v>
      </c>
      <c r="B33" s="23">
        <v>45744</v>
      </c>
      <c r="C33" s="38">
        <v>0</v>
      </c>
      <c r="D33" s="38">
        <v>0</v>
      </c>
      <c r="E33" s="38">
        <v>0</v>
      </c>
      <c r="F33" s="38">
        <v>0</v>
      </c>
      <c r="G33" s="44">
        <f t="shared" si="8"/>
        <v>0</v>
      </c>
      <c r="H33" s="42">
        <f>+$H$3*24</f>
        <v>0.5</v>
      </c>
      <c r="I33" s="42">
        <f>+$I$3*24</f>
        <v>8</v>
      </c>
      <c r="J33" s="42">
        <f>G33-I33-H33</f>
        <v>-8.5</v>
      </c>
      <c r="K33" s="39"/>
      <c r="L33" s="24"/>
      <c r="M33" s="2"/>
    </row>
    <row r="34" spans="1:16" s="41" customFormat="1" x14ac:dyDescent="0.3">
      <c r="A34" s="5" t="s">
        <v>13</v>
      </c>
      <c r="B34" s="25">
        <v>45745</v>
      </c>
      <c r="C34" s="37">
        <v>0</v>
      </c>
      <c r="D34" s="37">
        <v>0</v>
      </c>
      <c r="E34" s="37">
        <v>0</v>
      </c>
      <c r="F34" s="37">
        <v>0</v>
      </c>
      <c r="G34" s="43">
        <f t="shared" si="8"/>
        <v>0</v>
      </c>
      <c r="H34" s="43">
        <v>0</v>
      </c>
      <c r="I34" s="43">
        <v>0</v>
      </c>
      <c r="J34" s="18"/>
      <c r="K34" s="18">
        <f t="shared" ref="K34:K35" si="9">G34-I34+H34</f>
        <v>0</v>
      </c>
      <c r="L34" s="22"/>
      <c r="M34" s="40"/>
      <c r="N34" s="58"/>
      <c r="O34" s="58"/>
      <c r="P34" s="58"/>
    </row>
    <row r="35" spans="1:16" s="41" customFormat="1" x14ac:dyDescent="0.3">
      <c r="A35" s="5" t="s">
        <v>14</v>
      </c>
      <c r="B35" s="25">
        <v>45746</v>
      </c>
      <c r="C35" s="37">
        <v>0</v>
      </c>
      <c r="D35" s="37">
        <v>0</v>
      </c>
      <c r="E35" s="37">
        <v>0</v>
      </c>
      <c r="F35" s="37">
        <v>0</v>
      </c>
      <c r="G35" s="43">
        <f t="shared" si="8"/>
        <v>0</v>
      </c>
      <c r="H35" s="43">
        <v>0</v>
      </c>
      <c r="I35" s="43">
        <v>0</v>
      </c>
      <c r="J35" s="18"/>
      <c r="K35" s="18">
        <f t="shared" si="9"/>
        <v>0</v>
      </c>
      <c r="L35" s="22"/>
      <c r="M35" s="40"/>
      <c r="N35" s="58"/>
      <c r="O35" s="58"/>
      <c r="P35" s="58"/>
    </row>
    <row r="36" spans="1:16" ht="17.25" thickBot="1" x14ac:dyDescent="0.35">
      <c r="A36" s="4" t="s">
        <v>15</v>
      </c>
      <c r="B36" s="27">
        <v>45747</v>
      </c>
      <c r="C36" s="47">
        <v>0</v>
      </c>
      <c r="D36" s="47">
        <v>0</v>
      </c>
      <c r="E36" s="47">
        <v>0</v>
      </c>
      <c r="F36" s="47">
        <v>0</v>
      </c>
      <c r="G36" s="48">
        <f t="shared" ref="G36" si="10">(F36*24-E36*24)+(D36*24-C36*24)</f>
        <v>0</v>
      </c>
      <c r="H36" s="49">
        <f>+$H$3*24</f>
        <v>0.5</v>
      </c>
      <c r="I36" s="49">
        <f>+$I$3*24</f>
        <v>8</v>
      </c>
      <c r="J36" s="49">
        <f>G36-I36-H36</f>
        <v>-8.5</v>
      </c>
      <c r="K36" s="50"/>
      <c r="L36" s="28"/>
      <c r="M36" s="2"/>
    </row>
    <row r="37" spans="1:16" x14ac:dyDescent="0.3">
      <c r="A37" s="4"/>
      <c r="B37" s="12"/>
      <c r="C37" s="32"/>
      <c r="D37" s="32"/>
      <c r="E37" s="32"/>
      <c r="F37" s="32"/>
      <c r="G37" s="33"/>
      <c r="H37" s="34"/>
      <c r="I37" s="35"/>
      <c r="J37" s="33"/>
      <c r="K37" s="33"/>
      <c r="L37" s="36"/>
      <c r="M37" s="2"/>
    </row>
    <row r="38" spans="1:16" x14ac:dyDescent="0.3">
      <c r="A38" s="13"/>
      <c r="C38" s="2"/>
      <c r="D38" s="2"/>
      <c r="E38" s="2"/>
      <c r="F38" s="8"/>
      <c r="G38" s="9">
        <f t="shared" ref="G38" si="11">SUM(G6:G36)</f>
        <v>0</v>
      </c>
      <c r="H38" s="10">
        <f>SUM(H6:H36)</f>
        <v>10.5</v>
      </c>
      <c r="I38" s="11">
        <f t="shared" ref="I38:K38" si="12">SUM(I6:I36)</f>
        <v>168</v>
      </c>
      <c r="J38" s="9">
        <f t="shared" si="12"/>
        <v>-178.5</v>
      </c>
      <c r="K38" s="9">
        <f t="shared" si="12"/>
        <v>0</v>
      </c>
      <c r="L38" s="2"/>
      <c r="M38" s="2"/>
    </row>
    <row r="39" spans="1:16" x14ac:dyDescent="0.3">
      <c r="A39" s="14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E27E-7DD8-4B7D-9B9D-CDFFFC237636}">
  <sheetPr>
    <pageSetUpPr fitToPage="1"/>
  </sheetPr>
  <dimension ref="A1:P39"/>
  <sheetViews>
    <sheetView tabSelected="1" workbookViewId="0">
      <selection activeCell="Q9" sqref="Q9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3" width="21.140625" style="1" bestFit="1" customWidth="1"/>
    <col min="14" max="14" width="14.140625" style="1" customWidth="1"/>
    <col min="15" max="15" width="10.5703125" style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55" t="str">
        <f>+M5</f>
        <v>dietas</v>
      </c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30</v>
      </c>
      <c r="G3" s="2"/>
      <c r="H3" s="52">
        <v>2.0833333333333332E-2</v>
      </c>
      <c r="I3" s="53">
        <v>0.33333333333333331</v>
      </c>
      <c r="J3" s="2"/>
      <c r="K3" s="2"/>
      <c r="M3" s="71">
        <f>SUM(M6:M36)</f>
        <v>0</v>
      </c>
      <c r="N3" s="59">
        <f>J37</f>
        <v>-161.5</v>
      </c>
      <c r="O3" s="59">
        <f>K37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1" t="s">
        <v>34</v>
      </c>
      <c r="N5" s="71">
        <f>+N3*N1</f>
        <v>-1453.5</v>
      </c>
      <c r="O5" s="71">
        <f>+O3*O1</f>
        <v>0</v>
      </c>
      <c r="P5" s="71">
        <f>+O5+N5</f>
        <v>-1453.5</v>
      </c>
    </row>
    <row r="6" spans="1:16" x14ac:dyDescent="0.3">
      <c r="A6" s="4" t="s">
        <v>16</v>
      </c>
      <c r="B6" s="23">
        <v>45748</v>
      </c>
      <c r="C6" s="38">
        <v>0</v>
      </c>
      <c r="D6" s="38">
        <v>0</v>
      </c>
      <c r="E6" s="38">
        <v>0</v>
      </c>
      <c r="F6" s="38">
        <v>0</v>
      </c>
      <c r="G6" s="44">
        <f t="shared" ref="G6:G11" si="0">(F6*24-E6*24)+(D6*24-C6*24)</f>
        <v>0</v>
      </c>
      <c r="H6" s="42">
        <f>+$H$3*24</f>
        <v>0.5</v>
      </c>
      <c r="I6" s="42">
        <f>+$I$3*24</f>
        <v>8</v>
      </c>
      <c r="J6" s="42">
        <f>G6-I6-H6</f>
        <v>-8.5</v>
      </c>
      <c r="K6" s="39"/>
      <c r="L6" s="24"/>
      <c r="M6" s="24"/>
      <c r="N6" s="15"/>
      <c r="O6" s="15"/>
      <c r="P6" s="15"/>
    </row>
    <row r="7" spans="1:16" x14ac:dyDescent="0.3">
      <c r="A7" s="4" t="s">
        <v>17</v>
      </c>
      <c r="B7" s="23">
        <v>45749</v>
      </c>
      <c r="C7" s="38">
        <v>0</v>
      </c>
      <c r="D7" s="38">
        <v>0</v>
      </c>
      <c r="E7" s="38">
        <v>0</v>
      </c>
      <c r="F7" s="38">
        <v>0</v>
      </c>
      <c r="G7" s="44">
        <f t="shared" si="0"/>
        <v>0</v>
      </c>
      <c r="H7" s="42">
        <f>+$H$3*24</f>
        <v>0.5</v>
      </c>
      <c r="I7" s="42">
        <f>+$I$3*24</f>
        <v>8</v>
      </c>
      <c r="J7" s="42">
        <f>G7-I7-H7</f>
        <v>-8.5</v>
      </c>
      <c r="K7" s="39"/>
      <c r="L7" s="24"/>
      <c r="M7" s="24"/>
      <c r="P7" s="16"/>
    </row>
    <row r="8" spans="1:16" x14ac:dyDescent="0.3">
      <c r="A8" s="4" t="s">
        <v>18</v>
      </c>
      <c r="B8" s="23">
        <v>45750</v>
      </c>
      <c r="C8" s="38">
        <v>0</v>
      </c>
      <c r="D8" s="38">
        <v>0</v>
      </c>
      <c r="E8" s="38">
        <v>0</v>
      </c>
      <c r="F8" s="38">
        <v>0</v>
      </c>
      <c r="G8" s="44">
        <f t="shared" si="0"/>
        <v>0</v>
      </c>
      <c r="H8" s="42">
        <f>+$H$3*24</f>
        <v>0.5</v>
      </c>
      <c r="I8" s="42">
        <f>+$I$3*24</f>
        <v>8</v>
      </c>
      <c r="J8" s="42">
        <f>G8-I8-H8</f>
        <v>-8.5</v>
      </c>
      <c r="K8" s="39"/>
      <c r="L8" s="24"/>
      <c r="M8" s="24"/>
    </row>
    <row r="9" spans="1:16" x14ac:dyDescent="0.3">
      <c r="A9" s="4" t="s">
        <v>12</v>
      </c>
      <c r="B9" s="23">
        <v>45751</v>
      </c>
      <c r="C9" s="38">
        <v>0</v>
      </c>
      <c r="D9" s="38">
        <v>0</v>
      </c>
      <c r="E9" s="38">
        <v>0</v>
      </c>
      <c r="F9" s="38">
        <v>0</v>
      </c>
      <c r="G9" s="44">
        <f t="shared" si="0"/>
        <v>0</v>
      </c>
      <c r="H9" s="42">
        <f>+$H$3*24</f>
        <v>0.5</v>
      </c>
      <c r="I9" s="42">
        <f>+$I$3*24</f>
        <v>8</v>
      </c>
      <c r="J9" s="42">
        <f>G9-I9-H9</f>
        <v>-8.5</v>
      </c>
      <c r="K9" s="39"/>
      <c r="L9" s="24"/>
      <c r="M9" s="24"/>
    </row>
    <row r="10" spans="1:16" s="41" customFormat="1" x14ac:dyDescent="0.3">
      <c r="A10" s="5" t="s">
        <v>13</v>
      </c>
      <c r="B10" s="25">
        <v>45752</v>
      </c>
      <c r="C10" s="37">
        <v>0</v>
      </c>
      <c r="D10" s="37">
        <v>0</v>
      </c>
      <c r="E10" s="37">
        <v>0</v>
      </c>
      <c r="F10" s="37">
        <v>0</v>
      </c>
      <c r="G10" s="43">
        <f t="shared" si="0"/>
        <v>0</v>
      </c>
      <c r="H10" s="43">
        <v>0</v>
      </c>
      <c r="I10" s="43">
        <v>0</v>
      </c>
      <c r="J10" s="18"/>
      <c r="K10" s="18">
        <f t="shared" ref="K10:K11" si="1">G10-I10+H10</f>
        <v>0</v>
      </c>
      <c r="L10" s="22"/>
      <c r="M10" s="22"/>
      <c r="N10" s="58"/>
      <c r="O10" s="58"/>
      <c r="P10" s="58"/>
    </row>
    <row r="11" spans="1:16" s="41" customFormat="1" x14ac:dyDescent="0.3">
      <c r="A11" s="5" t="s">
        <v>14</v>
      </c>
      <c r="B11" s="25">
        <v>45753</v>
      </c>
      <c r="C11" s="37">
        <v>0</v>
      </c>
      <c r="D11" s="37">
        <v>0</v>
      </c>
      <c r="E11" s="37">
        <v>0</v>
      </c>
      <c r="F11" s="37">
        <v>0</v>
      </c>
      <c r="G11" s="43">
        <f t="shared" si="0"/>
        <v>0</v>
      </c>
      <c r="H11" s="43">
        <v>0</v>
      </c>
      <c r="I11" s="43">
        <v>0</v>
      </c>
      <c r="J11" s="18"/>
      <c r="K11" s="18">
        <f t="shared" si="1"/>
        <v>0</v>
      </c>
      <c r="L11" s="22"/>
      <c r="M11" s="22"/>
      <c r="N11" s="58"/>
      <c r="O11" s="58"/>
      <c r="P11" s="58"/>
    </row>
    <row r="12" spans="1:16" x14ac:dyDescent="0.3">
      <c r="A12" s="4" t="s">
        <v>15</v>
      </c>
      <c r="B12" s="23">
        <v>45754</v>
      </c>
      <c r="C12" s="38">
        <v>0</v>
      </c>
      <c r="D12" s="38">
        <v>0</v>
      </c>
      <c r="E12" s="38">
        <v>0</v>
      </c>
      <c r="F12" s="38">
        <v>0</v>
      </c>
      <c r="G12" s="44">
        <f t="shared" ref="G12:G18" si="2">(F12*24-E12*24)+(D12*24-C12*24)</f>
        <v>0</v>
      </c>
      <c r="H12" s="42">
        <f>+$H$3*24</f>
        <v>0.5</v>
      </c>
      <c r="I12" s="42">
        <f>+$I$3*24</f>
        <v>8</v>
      </c>
      <c r="J12" s="42">
        <f>G12-I12-H12</f>
        <v>-8.5</v>
      </c>
      <c r="K12" s="39"/>
      <c r="L12" s="24"/>
      <c r="M12" s="24"/>
    </row>
    <row r="13" spans="1:16" x14ac:dyDescent="0.3">
      <c r="A13" s="4" t="s">
        <v>16</v>
      </c>
      <c r="B13" s="23">
        <v>45755</v>
      </c>
      <c r="C13" s="38">
        <v>0</v>
      </c>
      <c r="D13" s="38">
        <v>0</v>
      </c>
      <c r="E13" s="38">
        <v>0</v>
      </c>
      <c r="F13" s="38">
        <v>0</v>
      </c>
      <c r="G13" s="44">
        <f t="shared" si="2"/>
        <v>0</v>
      </c>
      <c r="H13" s="42">
        <f>+$H$3*24</f>
        <v>0.5</v>
      </c>
      <c r="I13" s="42">
        <f>+$I$3*24</f>
        <v>8</v>
      </c>
      <c r="J13" s="42">
        <f>G13-I13-H13</f>
        <v>-8.5</v>
      </c>
      <c r="K13" s="39"/>
      <c r="L13" s="24"/>
      <c r="M13" s="24"/>
    </row>
    <row r="14" spans="1:16" x14ac:dyDescent="0.3">
      <c r="A14" s="4" t="s">
        <v>17</v>
      </c>
      <c r="B14" s="23">
        <v>45756</v>
      </c>
      <c r="C14" s="38">
        <v>0</v>
      </c>
      <c r="D14" s="38">
        <v>0</v>
      </c>
      <c r="E14" s="38">
        <v>0</v>
      </c>
      <c r="F14" s="38">
        <v>0</v>
      </c>
      <c r="G14" s="44">
        <f t="shared" si="2"/>
        <v>0</v>
      </c>
      <c r="H14" s="42">
        <f>+$H$3*24</f>
        <v>0.5</v>
      </c>
      <c r="I14" s="42">
        <f>+$I$3*24</f>
        <v>8</v>
      </c>
      <c r="J14" s="42">
        <f>G14-I14-H14</f>
        <v>-8.5</v>
      </c>
      <c r="K14" s="39"/>
      <c r="L14" s="24"/>
      <c r="M14" s="24"/>
    </row>
    <row r="15" spans="1:16" x14ac:dyDescent="0.3">
      <c r="A15" s="4" t="s">
        <v>18</v>
      </c>
      <c r="B15" s="23">
        <v>45757</v>
      </c>
      <c r="C15" s="38">
        <v>0</v>
      </c>
      <c r="D15" s="38">
        <v>0</v>
      </c>
      <c r="E15" s="38">
        <v>0</v>
      </c>
      <c r="F15" s="38">
        <v>0</v>
      </c>
      <c r="G15" s="44">
        <f t="shared" si="2"/>
        <v>0</v>
      </c>
      <c r="H15" s="42">
        <f>+$H$3*24</f>
        <v>0.5</v>
      </c>
      <c r="I15" s="42">
        <f>+$I$3*24</f>
        <v>8</v>
      </c>
      <c r="J15" s="42">
        <f>G15-I15-H15</f>
        <v>-8.5</v>
      </c>
      <c r="K15" s="39"/>
      <c r="L15" s="24"/>
      <c r="M15" s="24"/>
    </row>
    <row r="16" spans="1:16" x14ac:dyDescent="0.3">
      <c r="A16" s="4" t="s">
        <v>12</v>
      </c>
      <c r="B16" s="23">
        <v>45758</v>
      </c>
      <c r="C16" s="38">
        <v>0</v>
      </c>
      <c r="D16" s="38">
        <v>0</v>
      </c>
      <c r="E16" s="38">
        <v>0</v>
      </c>
      <c r="F16" s="38">
        <v>0</v>
      </c>
      <c r="G16" s="44">
        <f t="shared" si="2"/>
        <v>0</v>
      </c>
      <c r="H16" s="42">
        <f>+$H$3*24</f>
        <v>0.5</v>
      </c>
      <c r="I16" s="42">
        <f>+$I$3*24</f>
        <v>8</v>
      </c>
      <c r="J16" s="42">
        <f>G16-I16-H16</f>
        <v>-8.5</v>
      </c>
      <c r="K16" s="39"/>
      <c r="L16" s="24"/>
      <c r="M16" s="24"/>
    </row>
    <row r="17" spans="1:16" s="41" customFormat="1" x14ac:dyDescent="0.3">
      <c r="A17" s="5" t="s">
        <v>13</v>
      </c>
      <c r="B17" s="25">
        <v>45759</v>
      </c>
      <c r="C17" s="37">
        <v>0</v>
      </c>
      <c r="D17" s="37">
        <v>0</v>
      </c>
      <c r="E17" s="37">
        <v>0</v>
      </c>
      <c r="F17" s="37">
        <v>0</v>
      </c>
      <c r="G17" s="43">
        <f t="shared" si="2"/>
        <v>0</v>
      </c>
      <c r="H17" s="43">
        <v>0</v>
      </c>
      <c r="I17" s="43">
        <v>0</v>
      </c>
      <c r="J17" s="18"/>
      <c r="K17" s="18">
        <f t="shared" ref="K17:K18" si="3">G17-I17+H17</f>
        <v>0</v>
      </c>
      <c r="L17" s="22"/>
      <c r="M17" s="22"/>
      <c r="N17" s="58"/>
      <c r="O17" s="58"/>
      <c r="P17" s="58"/>
    </row>
    <row r="18" spans="1:16" s="41" customFormat="1" x14ac:dyDescent="0.3">
      <c r="A18" s="5" t="s">
        <v>14</v>
      </c>
      <c r="B18" s="25">
        <v>45760</v>
      </c>
      <c r="C18" s="37">
        <v>0</v>
      </c>
      <c r="D18" s="37">
        <v>0</v>
      </c>
      <c r="E18" s="37">
        <v>0</v>
      </c>
      <c r="F18" s="37">
        <v>0</v>
      </c>
      <c r="G18" s="43">
        <f t="shared" si="2"/>
        <v>0</v>
      </c>
      <c r="H18" s="43">
        <v>0</v>
      </c>
      <c r="I18" s="43">
        <v>0</v>
      </c>
      <c r="J18" s="18"/>
      <c r="K18" s="18">
        <f t="shared" si="3"/>
        <v>0</v>
      </c>
      <c r="L18" s="22"/>
      <c r="M18" s="22"/>
      <c r="N18" s="58"/>
      <c r="O18" s="58"/>
      <c r="P18" s="58"/>
    </row>
    <row r="19" spans="1:16" x14ac:dyDescent="0.3">
      <c r="A19" s="4" t="s">
        <v>15</v>
      </c>
      <c r="B19" s="23">
        <v>45761</v>
      </c>
      <c r="C19" s="38">
        <v>0</v>
      </c>
      <c r="D19" s="38">
        <v>0</v>
      </c>
      <c r="E19" s="38">
        <v>0</v>
      </c>
      <c r="F19" s="38">
        <v>0</v>
      </c>
      <c r="G19" s="44">
        <f t="shared" ref="G19:G26" si="4">(F19*24-E19*24)+(D19*24-C19*24)</f>
        <v>0</v>
      </c>
      <c r="H19" s="42">
        <f>+$H$3*24</f>
        <v>0.5</v>
      </c>
      <c r="I19" s="42">
        <f>+$I$3*24</f>
        <v>8</v>
      </c>
      <c r="J19" s="42">
        <f>G19-I19-H19</f>
        <v>-8.5</v>
      </c>
      <c r="K19" s="39"/>
      <c r="L19" s="24"/>
      <c r="M19" s="24"/>
    </row>
    <row r="20" spans="1:16" x14ac:dyDescent="0.3">
      <c r="A20" s="4" t="s">
        <v>16</v>
      </c>
      <c r="B20" s="23">
        <v>45762</v>
      </c>
      <c r="C20" s="38">
        <v>0</v>
      </c>
      <c r="D20" s="38">
        <v>0</v>
      </c>
      <c r="E20" s="38">
        <v>0</v>
      </c>
      <c r="F20" s="38">
        <v>0</v>
      </c>
      <c r="G20" s="44">
        <f t="shared" si="4"/>
        <v>0</v>
      </c>
      <c r="H20" s="42">
        <f>+$H$3*24</f>
        <v>0.5</v>
      </c>
      <c r="I20" s="42">
        <f>+$I$3*24</f>
        <v>8</v>
      </c>
      <c r="J20" s="42">
        <f>G20-I20-H20</f>
        <v>-8.5</v>
      </c>
      <c r="K20" s="39"/>
      <c r="L20" s="24"/>
      <c r="M20" s="24"/>
    </row>
    <row r="21" spans="1:16" x14ac:dyDescent="0.3">
      <c r="A21" s="4" t="s">
        <v>17</v>
      </c>
      <c r="B21" s="23">
        <v>45763</v>
      </c>
      <c r="C21" s="38">
        <v>0</v>
      </c>
      <c r="D21" s="38">
        <v>0</v>
      </c>
      <c r="E21" s="38">
        <v>0</v>
      </c>
      <c r="F21" s="38">
        <v>0</v>
      </c>
      <c r="G21" s="44">
        <f t="shared" si="4"/>
        <v>0</v>
      </c>
      <c r="H21" s="42">
        <f>+$H$3*24</f>
        <v>0.5</v>
      </c>
      <c r="I21" s="42">
        <f>+$I$3*24</f>
        <v>8</v>
      </c>
      <c r="J21" s="42">
        <f>G21-I21-H21</f>
        <v>-8.5</v>
      </c>
      <c r="K21" s="39"/>
      <c r="L21" s="24"/>
      <c r="M21" s="24"/>
    </row>
    <row r="22" spans="1:16" s="41" customFormat="1" x14ac:dyDescent="0.3">
      <c r="A22" s="5" t="s">
        <v>18</v>
      </c>
      <c r="B22" s="25">
        <v>45764</v>
      </c>
      <c r="C22" s="37">
        <v>0</v>
      </c>
      <c r="D22" s="37">
        <v>0</v>
      </c>
      <c r="E22" s="37">
        <v>0</v>
      </c>
      <c r="F22" s="37">
        <v>0</v>
      </c>
      <c r="G22" s="43">
        <f t="shared" si="4"/>
        <v>0</v>
      </c>
      <c r="H22" s="43">
        <v>0</v>
      </c>
      <c r="I22" s="43">
        <v>0</v>
      </c>
      <c r="J22" s="18"/>
      <c r="K22" s="18">
        <f t="shared" ref="K22:K26" si="5">G22-I22+H22</f>
        <v>0</v>
      </c>
      <c r="L22" s="22"/>
      <c r="M22" s="22"/>
      <c r="N22" s="58"/>
      <c r="O22" s="58"/>
      <c r="P22" s="58"/>
    </row>
    <row r="23" spans="1:16" s="41" customFormat="1" x14ac:dyDescent="0.3">
      <c r="A23" s="5" t="s">
        <v>12</v>
      </c>
      <c r="B23" s="25">
        <v>45765</v>
      </c>
      <c r="C23" s="37">
        <v>0</v>
      </c>
      <c r="D23" s="37">
        <v>0</v>
      </c>
      <c r="E23" s="37">
        <v>0</v>
      </c>
      <c r="F23" s="37">
        <v>0</v>
      </c>
      <c r="G23" s="43">
        <f t="shared" si="4"/>
        <v>0</v>
      </c>
      <c r="H23" s="43">
        <v>0</v>
      </c>
      <c r="I23" s="43">
        <v>0</v>
      </c>
      <c r="J23" s="18"/>
      <c r="K23" s="18">
        <f t="shared" si="5"/>
        <v>0</v>
      </c>
      <c r="L23" s="22"/>
      <c r="M23" s="22"/>
      <c r="N23" s="58"/>
      <c r="O23" s="58"/>
      <c r="P23" s="58"/>
    </row>
    <row r="24" spans="1:16" s="41" customFormat="1" x14ac:dyDescent="0.3">
      <c r="A24" s="5" t="s">
        <v>13</v>
      </c>
      <c r="B24" s="25">
        <v>45766</v>
      </c>
      <c r="C24" s="37">
        <v>0</v>
      </c>
      <c r="D24" s="37">
        <v>0</v>
      </c>
      <c r="E24" s="37">
        <v>0</v>
      </c>
      <c r="F24" s="37">
        <v>0</v>
      </c>
      <c r="G24" s="43">
        <f t="shared" si="4"/>
        <v>0</v>
      </c>
      <c r="H24" s="43">
        <v>0</v>
      </c>
      <c r="I24" s="43">
        <v>0</v>
      </c>
      <c r="J24" s="18"/>
      <c r="K24" s="18">
        <f t="shared" si="5"/>
        <v>0</v>
      </c>
      <c r="L24" s="22"/>
      <c r="M24" s="22"/>
      <c r="N24" s="58"/>
      <c r="O24" s="58"/>
      <c r="P24" s="58"/>
    </row>
    <row r="25" spans="1:16" s="41" customFormat="1" x14ac:dyDescent="0.3">
      <c r="A25" s="5" t="s">
        <v>14</v>
      </c>
      <c r="B25" s="25">
        <v>45767</v>
      </c>
      <c r="C25" s="37">
        <v>0</v>
      </c>
      <c r="D25" s="37">
        <v>0</v>
      </c>
      <c r="E25" s="37">
        <v>0</v>
      </c>
      <c r="F25" s="37">
        <v>0</v>
      </c>
      <c r="G25" s="43">
        <f t="shared" si="4"/>
        <v>0</v>
      </c>
      <c r="H25" s="43">
        <v>0</v>
      </c>
      <c r="I25" s="43">
        <v>0</v>
      </c>
      <c r="J25" s="18"/>
      <c r="K25" s="18">
        <f t="shared" si="5"/>
        <v>0</v>
      </c>
      <c r="L25" s="22"/>
      <c r="M25" s="22"/>
      <c r="N25" s="58"/>
      <c r="O25" s="58"/>
      <c r="P25" s="58"/>
    </row>
    <row r="26" spans="1:16" s="41" customFormat="1" x14ac:dyDescent="0.3">
      <c r="A26" s="5" t="s">
        <v>15</v>
      </c>
      <c r="B26" s="25">
        <v>45768</v>
      </c>
      <c r="C26" s="37">
        <v>0</v>
      </c>
      <c r="D26" s="37">
        <v>0</v>
      </c>
      <c r="E26" s="37">
        <v>0</v>
      </c>
      <c r="F26" s="37">
        <v>0</v>
      </c>
      <c r="G26" s="43">
        <f t="shared" si="4"/>
        <v>0</v>
      </c>
      <c r="H26" s="43">
        <v>0</v>
      </c>
      <c r="I26" s="43">
        <v>0</v>
      </c>
      <c r="J26" s="18"/>
      <c r="K26" s="18">
        <f t="shared" si="5"/>
        <v>0</v>
      </c>
      <c r="L26" s="22"/>
      <c r="M26" s="22"/>
      <c r="N26" s="58"/>
      <c r="O26" s="58"/>
      <c r="P26" s="58"/>
    </row>
    <row r="27" spans="1:16" x14ac:dyDescent="0.3">
      <c r="A27" s="4" t="s">
        <v>16</v>
      </c>
      <c r="B27" s="23">
        <v>45769</v>
      </c>
      <c r="C27" s="38">
        <v>0</v>
      </c>
      <c r="D27" s="38">
        <v>0</v>
      </c>
      <c r="E27" s="38">
        <v>0</v>
      </c>
      <c r="F27" s="38">
        <v>0</v>
      </c>
      <c r="G27" s="44">
        <f t="shared" ref="G27:G32" si="6">(F27*24-E27*24)+(D27*24-C27*24)</f>
        <v>0</v>
      </c>
      <c r="H27" s="42">
        <f>+$H$3*24</f>
        <v>0.5</v>
      </c>
      <c r="I27" s="42">
        <f>+$I$3*24</f>
        <v>8</v>
      </c>
      <c r="J27" s="42">
        <f>G27-I27-H27</f>
        <v>-8.5</v>
      </c>
      <c r="K27" s="39"/>
      <c r="L27" s="24"/>
      <c r="M27" s="24"/>
    </row>
    <row r="28" spans="1:16" x14ac:dyDescent="0.3">
      <c r="A28" s="4" t="s">
        <v>17</v>
      </c>
      <c r="B28" s="23">
        <v>45770</v>
      </c>
      <c r="C28" s="38">
        <v>0</v>
      </c>
      <c r="D28" s="38">
        <v>0</v>
      </c>
      <c r="E28" s="38">
        <v>0</v>
      </c>
      <c r="F28" s="38">
        <v>0</v>
      </c>
      <c r="G28" s="44">
        <f t="shared" si="6"/>
        <v>0</v>
      </c>
      <c r="H28" s="42">
        <f>+$H$3*24</f>
        <v>0.5</v>
      </c>
      <c r="I28" s="42">
        <f>+$I$3*24</f>
        <v>8</v>
      </c>
      <c r="J28" s="42">
        <f>G28-I28-H28</f>
        <v>-8.5</v>
      </c>
      <c r="K28" s="39"/>
      <c r="L28" s="24"/>
      <c r="M28" s="24"/>
    </row>
    <row r="29" spans="1:16" x14ac:dyDescent="0.3">
      <c r="A29" s="4" t="s">
        <v>18</v>
      </c>
      <c r="B29" s="23">
        <v>45771</v>
      </c>
      <c r="C29" s="38">
        <v>0</v>
      </c>
      <c r="D29" s="38">
        <v>0</v>
      </c>
      <c r="E29" s="38">
        <v>0</v>
      </c>
      <c r="F29" s="38">
        <v>0</v>
      </c>
      <c r="G29" s="44">
        <f t="shared" si="6"/>
        <v>0</v>
      </c>
      <c r="H29" s="42">
        <f>+$H$3*24</f>
        <v>0.5</v>
      </c>
      <c r="I29" s="42">
        <f>+$I$3*24</f>
        <v>8</v>
      </c>
      <c r="J29" s="42">
        <f>G29-I29-H29</f>
        <v>-8.5</v>
      </c>
      <c r="K29" s="39"/>
      <c r="L29" s="24"/>
      <c r="M29" s="24"/>
    </row>
    <row r="30" spans="1:16" x14ac:dyDescent="0.3">
      <c r="A30" s="4" t="s">
        <v>12</v>
      </c>
      <c r="B30" s="23">
        <v>45772</v>
      </c>
      <c r="C30" s="38">
        <v>0</v>
      </c>
      <c r="D30" s="38">
        <v>0</v>
      </c>
      <c r="E30" s="38">
        <v>0</v>
      </c>
      <c r="F30" s="38">
        <v>0</v>
      </c>
      <c r="G30" s="44">
        <f t="shared" si="6"/>
        <v>0</v>
      </c>
      <c r="H30" s="42">
        <f>+$H$3*24</f>
        <v>0.5</v>
      </c>
      <c r="I30" s="42">
        <f>+$I$3*24</f>
        <v>8</v>
      </c>
      <c r="J30" s="42">
        <f>G30-I30-H30</f>
        <v>-8.5</v>
      </c>
      <c r="K30" s="39"/>
      <c r="L30" s="24"/>
      <c r="M30" s="24"/>
    </row>
    <row r="31" spans="1:16" s="41" customFormat="1" x14ac:dyDescent="0.3">
      <c r="A31" s="5" t="s">
        <v>13</v>
      </c>
      <c r="B31" s="25">
        <v>45773</v>
      </c>
      <c r="C31" s="37">
        <v>0</v>
      </c>
      <c r="D31" s="37">
        <v>0</v>
      </c>
      <c r="E31" s="37">
        <v>0</v>
      </c>
      <c r="F31" s="37">
        <v>0</v>
      </c>
      <c r="G31" s="43">
        <f t="shared" si="6"/>
        <v>0</v>
      </c>
      <c r="H31" s="43">
        <v>0</v>
      </c>
      <c r="I31" s="43">
        <v>0</v>
      </c>
      <c r="J31" s="18"/>
      <c r="K31" s="18">
        <f t="shared" ref="K31:K32" si="7">G31-I31+H31</f>
        <v>0</v>
      </c>
      <c r="L31" s="22"/>
      <c r="M31" s="22"/>
      <c r="N31" s="58"/>
      <c r="O31" s="58"/>
      <c r="P31" s="58"/>
    </row>
    <row r="32" spans="1:16" s="41" customFormat="1" x14ac:dyDescent="0.3">
      <c r="A32" s="5" t="s">
        <v>14</v>
      </c>
      <c r="B32" s="25">
        <v>45774</v>
      </c>
      <c r="C32" s="37">
        <v>0</v>
      </c>
      <c r="D32" s="37">
        <v>0</v>
      </c>
      <c r="E32" s="37">
        <v>0</v>
      </c>
      <c r="F32" s="37">
        <v>0</v>
      </c>
      <c r="G32" s="43">
        <f t="shared" si="6"/>
        <v>0</v>
      </c>
      <c r="H32" s="43">
        <v>0</v>
      </c>
      <c r="I32" s="43">
        <v>0</v>
      </c>
      <c r="J32" s="18"/>
      <c r="K32" s="18">
        <f t="shared" si="7"/>
        <v>0</v>
      </c>
      <c r="L32" s="22"/>
      <c r="M32" s="22"/>
      <c r="N32" s="58"/>
      <c r="O32" s="58"/>
      <c r="P32" s="58"/>
    </row>
    <row r="33" spans="1:13" x14ac:dyDescent="0.3">
      <c r="A33" s="4" t="s">
        <v>15</v>
      </c>
      <c r="B33" s="23">
        <v>45775</v>
      </c>
      <c r="C33" s="38">
        <v>0</v>
      </c>
      <c r="D33" s="38">
        <v>0</v>
      </c>
      <c r="E33" s="38">
        <v>0</v>
      </c>
      <c r="F33" s="38">
        <v>0</v>
      </c>
      <c r="G33" s="44">
        <f t="shared" ref="G33:G35" si="8">(F33*24-E33*24)+(D33*24-C33*24)</f>
        <v>0</v>
      </c>
      <c r="H33" s="42">
        <f>+$H$3*24</f>
        <v>0.5</v>
      </c>
      <c r="I33" s="42">
        <f>+$I$3*24</f>
        <v>8</v>
      </c>
      <c r="J33" s="42">
        <f>G33-I33-H33</f>
        <v>-8.5</v>
      </c>
      <c r="K33" s="39"/>
      <c r="L33" s="24"/>
      <c r="M33" s="24"/>
    </row>
    <row r="34" spans="1:13" x14ac:dyDescent="0.3">
      <c r="A34" s="4" t="s">
        <v>16</v>
      </c>
      <c r="B34" s="23">
        <v>45776</v>
      </c>
      <c r="C34" s="38">
        <v>0</v>
      </c>
      <c r="D34" s="38">
        <v>0</v>
      </c>
      <c r="E34" s="38">
        <v>0</v>
      </c>
      <c r="F34" s="38">
        <v>0</v>
      </c>
      <c r="G34" s="44">
        <f t="shared" si="8"/>
        <v>0</v>
      </c>
      <c r="H34" s="42">
        <f>+$H$3*24</f>
        <v>0.5</v>
      </c>
      <c r="I34" s="42">
        <f>+$I$3*24</f>
        <v>8</v>
      </c>
      <c r="J34" s="42">
        <f>G34-I34-H34</f>
        <v>-8.5</v>
      </c>
      <c r="K34" s="39"/>
      <c r="L34" s="24"/>
      <c r="M34" s="24"/>
    </row>
    <row r="35" spans="1:13" x14ac:dyDescent="0.3">
      <c r="A35" s="4" t="s">
        <v>17</v>
      </c>
      <c r="B35" s="23">
        <v>45777</v>
      </c>
      <c r="C35" s="38">
        <v>0</v>
      </c>
      <c r="D35" s="38">
        <v>0</v>
      </c>
      <c r="E35" s="38">
        <v>0</v>
      </c>
      <c r="F35" s="38">
        <v>0</v>
      </c>
      <c r="G35" s="44">
        <f t="shared" si="8"/>
        <v>0</v>
      </c>
      <c r="H35" s="42">
        <f>+$H$3*24</f>
        <v>0.5</v>
      </c>
      <c r="I35" s="42">
        <f>+$I$3*24</f>
        <v>8</v>
      </c>
      <c r="J35" s="42">
        <f>G35-I35-H35</f>
        <v>-8.5</v>
      </c>
      <c r="K35" s="39"/>
      <c r="L35" s="24"/>
      <c r="M35" s="24"/>
    </row>
    <row r="36" spans="1:13" ht="17.25" thickBot="1" x14ac:dyDescent="0.35">
      <c r="A36" s="4"/>
      <c r="B36" s="27"/>
      <c r="C36" s="66"/>
      <c r="D36" s="66"/>
      <c r="E36" s="66"/>
      <c r="F36" s="66"/>
      <c r="G36" s="67"/>
      <c r="H36" s="68"/>
      <c r="I36" s="69"/>
      <c r="J36" s="67"/>
      <c r="K36" s="67"/>
      <c r="L36" s="28"/>
      <c r="M36" s="28"/>
    </row>
    <row r="37" spans="1:13" x14ac:dyDescent="0.3">
      <c r="A37" s="13"/>
      <c r="B37" s="12"/>
      <c r="C37" s="2"/>
      <c r="D37" s="2"/>
      <c r="E37" s="2"/>
      <c r="F37" s="8"/>
      <c r="G37" s="9">
        <f>SUM(G6:G36)</f>
        <v>0</v>
      </c>
      <c r="H37" s="10">
        <f>SUM(H6:H36)</f>
        <v>9.5</v>
      </c>
      <c r="I37" s="11">
        <f>SUM(I6:I36)</f>
        <v>152</v>
      </c>
      <c r="J37" s="9">
        <f>SUM(J6:J36)</f>
        <v>-161.5</v>
      </c>
      <c r="K37" s="9">
        <f>SUM(K6:K36)</f>
        <v>0</v>
      </c>
      <c r="L37" s="2"/>
      <c r="M37" s="36"/>
    </row>
    <row r="38" spans="1:13" x14ac:dyDescent="0.3">
      <c r="A38" s="14"/>
      <c r="B38" s="12"/>
      <c r="M38" s="2"/>
    </row>
    <row r="39" spans="1:13" x14ac:dyDescent="0.3">
      <c r="B39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6A6D-5FEA-4D86-8923-6B3104D327C7}">
  <sheetPr>
    <pageSetUpPr fitToPage="1"/>
  </sheetPr>
  <dimension ref="A1:P39"/>
  <sheetViews>
    <sheetView workbookViewId="0">
      <selection activeCell="Q10" sqref="Q10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4" width="11.42578125" style="1"/>
    <col min="15" max="15" width="10.5703125" style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29</v>
      </c>
      <c r="G3" s="2"/>
      <c r="H3" s="52">
        <v>2.0833333333333332E-2</v>
      </c>
      <c r="I3" s="53">
        <v>0.33333333333333331</v>
      </c>
      <c r="J3" s="2"/>
      <c r="K3" s="2"/>
      <c r="N3" s="59">
        <f>J37</f>
        <v>-178.5</v>
      </c>
      <c r="O3" s="59">
        <f>K37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-1606.5</v>
      </c>
      <c r="O5" s="71">
        <f>+O3*O1</f>
        <v>0</v>
      </c>
      <c r="P5" s="71">
        <f>+O5+N5</f>
        <v>-1606.5</v>
      </c>
    </row>
    <row r="6" spans="1:16" s="41" customFormat="1" x14ac:dyDescent="0.3">
      <c r="A6" s="5" t="s">
        <v>18</v>
      </c>
      <c r="B6" s="25">
        <v>45778</v>
      </c>
      <c r="C6" s="37">
        <v>0</v>
      </c>
      <c r="D6" s="37">
        <v>0</v>
      </c>
      <c r="E6" s="37">
        <v>0</v>
      </c>
      <c r="F6" s="37">
        <v>0</v>
      </c>
      <c r="G6" s="43">
        <f t="shared" ref="G6" si="0">(F6*24-E6*24)+(D6*24-C6*24)</f>
        <v>0</v>
      </c>
      <c r="H6" s="43">
        <v>0</v>
      </c>
      <c r="I6" s="43">
        <v>0</v>
      </c>
      <c r="J6" s="18"/>
      <c r="K6" s="18">
        <f t="shared" ref="K6" si="1">G6-I6+H6</f>
        <v>0</v>
      </c>
      <c r="L6" s="22"/>
      <c r="M6" s="40"/>
      <c r="N6" s="58"/>
      <c r="O6" s="58"/>
      <c r="P6" s="58"/>
    </row>
    <row r="7" spans="1:16" x14ac:dyDescent="0.3">
      <c r="A7" s="4" t="s">
        <v>12</v>
      </c>
      <c r="B7" s="23">
        <v>45779</v>
      </c>
      <c r="C7" s="38">
        <v>0</v>
      </c>
      <c r="D7" s="38">
        <v>0</v>
      </c>
      <c r="E7" s="38">
        <v>0</v>
      </c>
      <c r="F7" s="38">
        <v>0</v>
      </c>
      <c r="G7" s="44">
        <f t="shared" ref="G7:G9" si="2">(F7*24-E7*24)+(D7*24-C7*24)</f>
        <v>0</v>
      </c>
      <c r="H7" s="42">
        <f>+$H$3*24</f>
        <v>0.5</v>
      </c>
      <c r="I7" s="42">
        <f>+$I$3*24</f>
        <v>8</v>
      </c>
      <c r="J7" s="42">
        <f>G7-I7-H7</f>
        <v>-8.5</v>
      </c>
      <c r="K7" s="39"/>
      <c r="L7" s="24"/>
      <c r="M7" s="2"/>
    </row>
    <row r="8" spans="1:16" s="41" customFormat="1" x14ac:dyDescent="0.3">
      <c r="A8" s="5" t="s">
        <v>13</v>
      </c>
      <c r="B8" s="25">
        <v>45780</v>
      </c>
      <c r="C8" s="37">
        <v>0</v>
      </c>
      <c r="D8" s="37">
        <v>0</v>
      </c>
      <c r="E8" s="37">
        <v>0</v>
      </c>
      <c r="F8" s="37">
        <v>0</v>
      </c>
      <c r="G8" s="43">
        <f t="shared" si="2"/>
        <v>0</v>
      </c>
      <c r="H8" s="43">
        <v>0</v>
      </c>
      <c r="I8" s="43">
        <v>0</v>
      </c>
      <c r="J8" s="18"/>
      <c r="K8" s="18">
        <f t="shared" ref="K8:K9" si="3">G8-I8+H8</f>
        <v>0</v>
      </c>
      <c r="L8" s="22"/>
      <c r="M8" s="40"/>
      <c r="N8" s="58"/>
      <c r="O8" s="58"/>
      <c r="P8" s="58"/>
    </row>
    <row r="9" spans="1:16" s="41" customFormat="1" x14ac:dyDescent="0.3">
      <c r="A9" s="5" t="s">
        <v>14</v>
      </c>
      <c r="B9" s="25">
        <v>45781</v>
      </c>
      <c r="C9" s="37">
        <v>0</v>
      </c>
      <c r="D9" s="37">
        <v>0</v>
      </c>
      <c r="E9" s="37">
        <v>0</v>
      </c>
      <c r="F9" s="37">
        <v>0</v>
      </c>
      <c r="G9" s="43">
        <f t="shared" si="2"/>
        <v>0</v>
      </c>
      <c r="H9" s="43">
        <v>0</v>
      </c>
      <c r="I9" s="43">
        <v>0</v>
      </c>
      <c r="J9" s="18"/>
      <c r="K9" s="18">
        <f t="shared" si="3"/>
        <v>0</v>
      </c>
      <c r="L9" s="22"/>
      <c r="M9" s="40"/>
      <c r="N9" s="58"/>
      <c r="O9" s="58"/>
      <c r="P9" s="58"/>
    </row>
    <row r="10" spans="1:16" x14ac:dyDescent="0.3">
      <c r="A10" s="4" t="s">
        <v>15</v>
      </c>
      <c r="B10" s="26">
        <v>45782</v>
      </c>
      <c r="C10" s="38">
        <v>0</v>
      </c>
      <c r="D10" s="38">
        <v>0</v>
      </c>
      <c r="E10" s="38">
        <v>0</v>
      </c>
      <c r="F10" s="38">
        <v>0</v>
      </c>
      <c r="G10" s="44">
        <f t="shared" ref="G10:G16" si="4">(F10*24-E10*24)+(D10*24-C10*24)</f>
        <v>0</v>
      </c>
      <c r="H10" s="42">
        <f>+$H$3*24</f>
        <v>0.5</v>
      </c>
      <c r="I10" s="42">
        <f>+$I$3*24</f>
        <v>8</v>
      </c>
      <c r="J10" s="42">
        <f>G10-I10-H10</f>
        <v>-8.5</v>
      </c>
      <c r="K10" s="39"/>
      <c r="L10" s="24"/>
      <c r="M10" s="2"/>
      <c r="P10" s="16"/>
    </row>
    <row r="11" spans="1:16" x14ac:dyDescent="0.3">
      <c r="A11" s="4" t="s">
        <v>16</v>
      </c>
      <c r="B11" s="23">
        <v>45783</v>
      </c>
      <c r="C11" s="38">
        <v>0</v>
      </c>
      <c r="D11" s="38">
        <v>0</v>
      </c>
      <c r="E11" s="38">
        <v>0</v>
      </c>
      <c r="F11" s="38">
        <v>0</v>
      </c>
      <c r="G11" s="44">
        <f t="shared" si="4"/>
        <v>0</v>
      </c>
      <c r="H11" s="42">
        <f>+$H$3*24</f>
        <v>0.5</v>
      </c>
      <c r="I11" s="42">
        <f>+$I$3*24</f>
        <v>8</v>
      </c>
      <c r="J11" s="42">
        <f>G11-I11-H11</f>
        <v>-8.5</v>
      </c>
      <c r="K11" s="39"/>
      <c r="L11" s="24"/>
      <c r="M11" s="2"/>
      <c r="N11" s="15"/>
      <c r="O11" s="15"/>
      <c r="P11" s="15"/>
    </row>
    <row r="12" spans="1:16" x14ac:dyDescent="0.3">
      <c r="A12" s="4" t="s">
        <v>17</v>
      </c>
      <c r="B12" s="23">
        <v>45784</v>
      </c>
      <c r="C12" s="38">
        <v>0</v>
      </c>
      <c r="D12" s="38">
        <v>0</v>
      </c>
      <c r="E12" s="38">
        <v>0</v>
      </c>
      <c r="F12" s="38">
        <v>0</v>
      </c>
      <c r="G12" s="44">
        <f t="shared" si="4"/>
        <v>0</v>
      </c>
      <c r="H12" s="42">
        <f>+$H$3*24</f>
        <v>0.5</v>
      </c>
      <c r="I12" s="42">
        <f>+$I$3*24</f>
        <v>8</v>
      </c>
      <c r="J12" s="42">
        <f>G12-I12-H12</f>
        <v>-8.5</v>
      </c>
      <c r="K12" s="39"/>
      <c r="L12" s="24"/>
      <c r="M12" s="2"/>
      <c r="P12" s="16"/>
    </row>
    <row r="13" spans="1:16" x14ac:dyDescent="0.3">
      <c r="A13" s="4" t="s">
        <v>18</v>
      </c>
      <c r="B13" s="23">
        <v>45785</v>
      </c>
      <c r="C13" s="38">
        <v>0</v>
      </c>
      <c r="D13" s="38">
        <v>0</v>
      </c>
      <c r="E13" s="38">
        <v>0</v>
      </c>
      <c r="F13" s="38">
        <v>0</v>
      </c>
      <c r="G13" s="44">
        <f t="shared" si="4"/>
        <v>0</v>
      </c>
      <c r="H13" s="42">
        <f>+$H$3*24</f>
        <v>0.5</v>
      </c>
      <c r="I13" s="42">
        <f>+$I$3*24</f>
        <v>8</v>
      </c>
      <c r="J13" s="42">
        <f>G13-I13-H13</f>
        <v>-8.5</v>
      </c>
      <c r="K13" s="39"/>
      <c r="L13" s="24"/>
      <c r="M13" s="2"/>
    </row>
    <row r="14" spans="1:16" x14ac:dyDescent="0.3">
      <c r="A14" s="4" t="s">
        <v>12</v>
      </c>
      <c r="B14" s="23">
        <v>45786</v>
      </c>
      <c r="C14" s="38">
        <v>0</v>
      </c>
      <c r="D14" s="38">
        <v>0</v>
      </c>
      <c r="E14" s="38">
        <v>0</v>
      </c>
      <c r="F14" s="38">
        <v>0</v>
      </c>
      <c r="G14" s="44">
        <f t="shared" si="4"/>
        <v>0</v>
      </c>
      <c r="H14" s="42">
        <f>+$H$3*24</f>
        <v>0.5</v>
      </c>
      <c r="I14" s="42">
        <f>+$I$3*24</f>
        <v>8</v>
      </c>
      <c r="J14" s="42">
        <f>G14-I14-H14</f>
        <v>-8.5</v>
      </c>
      <c r="K14" s="39"/>
      <c r="L14" s="24"/>
      <c r="M14" s="2"/>
    </row>
    <row r="15" spans="1:16" s="41" customFormat="1" x14ac:dyDescent="0.3">
      <c r="A15" s="5" t="s">
        <v>13</v>
      </c>
      <c r="B15" s="25">
        <v>45787</v>
      </c>
      <c r="C15" s="37">
        <v>0</v>
      </c>
      <c r="D15" s="37">
        <v>0</v>
      </c>
      <c r="E15" s="37">
        <v>0</v>
      </c>
      <c r="F15" s="37">
        <v>0</v>
      </c>
      <c r="G15" s="43">
        <f t="shared" si="4"/>
        <v>0</v>
      </c>
      <c r="H15" s="43">
        <v>0</v>
      </c>
      <c r="I15" s="43">
        <v>0</v>
      </c>
      <c r="J15" s="18"/>
      <c r="K15" s="18">
        <f t="shared" ref="K15:K16" si="5">G15-I15+H15</f>
        <v>0</v>
      </c>
      <c r="L15" s="22"/>
      <c r="M15" s="40"/>
      <c r="N15" s="58"/>
      <c r="O15" s="58"/>
      <c r="P15" s="58"/>
    </row>
    <row r="16" spans="1:16" s="41" customFormat="1" x14ac:dyDescent="0.3">
      <c r="A16" s="5" t="s">
        <v>14</v>
      </c>
      <c r="B16" s="25">
        <v>45788</v>
      </c>
      <c r="C16" s="37">
        <v>0</v>
      </c>
      <c r="D16" s="37">
        <v>0</v>
      </c>
      <c r="E16" s="37">
        <v>0</v>
      </c>
      <c r="F16" s="37">
        <v>0</v>
      </c>
      <c r="G16" s="43">
        <f t="shared" si="4"/>
        <v>0</v>
      </c>
      <c r="H16" s="43">
        <v>0</v>
      </c>
      <c r="I16" s="43">
        <v>0</v>
      </c>
      <c r="J16" s="18"/>
      <c r="K16" s="18">
        <f t="shared" si="5"/>
        <v>0</v>
      </c>
      <c r="L16" s="22"/>
      <c r="M16" s="40"/>
      <c r="N16" s="58"/>
      <c r="O16" s="58"/>
      <c r="P16" s="58"/>
    </row>
    <row r="17" spans="1:16" x14ac:dyDescent="0.3">
      <c r="A17" s="4" t="s">
        <v>15</v>
      </c>
      <c r="B17" s="23">
        <v>45789</v>
      </c>
      <c r="C17" s="38">
        <v>0</v>
      </c>
      <c r="D17" s="38">
        <v>0</v>
      </c>
      <c r="E17" s="38">
        <v>0</v>
      </c>
      <c r="F17" s="38">
        <v>0</v>
      </c>
      <c r="G17" s="44">
        <f t="shared" ref="G17:G23" si="6">(F17*24-E17*24)+(D17*24-C17*24)</f>
        <v>0</v>
      </c>
      <c r="H17" s="42">
        <f>+$H$3*24</f>
        <v>0.5</v>
      </c>
      <c r="I17" s="42">
        <f>+$I$3*24</f>
        <v>8</v>
      </c>
      <c r="J17" s="42">
        <f>G17-I17-H17</f>
        <v>-8.5</v>
      </c>
      <c r="K17" s="39"/>
      <c r="L17" s="24"/>
      <c r="M17" s="2"/>
    </row>
    <row r="18" spans="1:16" x14ac:dyDescent="0.3">
      <c r="A18" s="4" t="s">
        <v>16</v>
      </c>
      <c r="B18" s="23">
        <v>45790</v>
      </c>
      <c r="C18" s="38">
        <v>0</v>
      </c>
      <c r="D18" s="38">
        <v>0</v>
      </c>
      <c r="E18" s="38">
        <v>0</v>
      </c>
      <c r="F18" s="38">
        <v>0</v>
      </c>
      <c r="G18" s="44">
        <f t="shared" si="6"/>
        <v>0</v>
      </c>
      <c r="H18" s="42">
        <f>+$H$3*24</f>
        <v>0.5</v>
      </c>
      <c r="I18" s="42">
        <f>+$I$3*24</f>
        <v>8</v>
      </c>
      <c r="J18" s="42">
        <f>G18-I18-H18</f>
        <v>-8.5</v>
      </c>
      <c r="K18" s="39"/>
      <c r="L18" s="24"/>
      <c r="M18" s="2"/>
    </row>
    <row r="19" spans="1:16" x14ac:dyDescent="0.3">
      <c r="A19" s="4" t="s">
        <v>17</v>
      </c>
      <c r="B19" s="23">
        <v>45791</v>
      </c>
      <c r="C19" s="38">
        <v>0</v>
      </c>
      <c r="D19" s="38">
        <v>0</v>
      </c>
      <c r="E19" s="38">
        <v>0</v>
      </c>
      <c r="F19" s="38">
        <v>0</v>
      </c>
      <c r="G19" s="44">
        <f t="shared" si="6"/>
        <v>0</v>
      </c>
      <c r="H19" s="42">
        <f>+$H$3*24</f>
        <v>0.5</v>
      </c>
      <c r="I19" s="42">
        <f>+$I$3*24</f>
        <v>8</v>
      </c>
      <c r="J19" s="42">
        <f>G19-I19-H19</f>
        <v>-8.5</v>
      </c>
      <c r="K19" s="39"/>
      <c r="L19" s="24"/>
      <c r="M19" s="2"/>
    </row>
    <row r="20" spans="1:16" x14ac:dyDescent="0.3">
      <c r="A20" s="4" t="s">
        <v>18</v>
      </c>
      <c r="B20" s="23">
        <v>45792</v>
      </c>
      <c r="C20" s="38">
        <v>0</v>
      </c>
      <c r="D20" s="38">
        <v>0</v>
      </c>
      <c r="E20" s="38">
        <v>0</v>
      </c>
      <c r="F20" s="38">
        <v>0</v>
      </c>
      <c r="G20" s="44">
        <f t="shared" si="6"/>
        <v>0</v>
      </c>
      <c r="H20" s="42">
        <f>+$H$3*24</f>
        <v>0.5</v>
      </c>
      <c r="I20" s="42">
        <f>+$I$3*24</f>
        <v>8</v>
      </c>
      <c r="J20" s="42">
        <f>G20-I20-H20</f>
        <v>-8.5</v>
      </c>
      <c r="K20" s="39"/>
      <c r="L20" s="24"/>
      <c r="M20" s="2"/>
    </row>
    <row r="21" spans="1:16" x14ac:dyDescent="0.3">
      <c r="A21" s="4" t="s">
        <v>12</v>
      </c>
      <c r="B21" s="23">
        <v>45793</v>
      </c>
      <c r="C21" s="38">
        <v>0</v>
      </c>
      <c r="D21" s="38">
        <v>0</v>
      </c>
      <c r="E21" s="38">
        <v>0</v>
      </c>
      <c r="F21" s="38">
        <v>0</v>
      </c>
      <c r="G21" s="44">
        <f t="shared" si="6"/>
        <v>0</v>
      </c>
      <c r="H21" s="42">
        <f>+$H$3*24</f>
        <v>0.5</v>
      </c>
      <c r="I21" s="42">
        <f>+$I$3*24</f>
        <v>8</v>
      </c>
      <c r="J21" s="42">
        <f>G21-I21-H21</f>
        <v>-8.5</v>
      </c>
      <c r="K21" s="39"/>
      <c r="L21" s="24"/>
      <c r="M21" s="2"/>
    </row>
    <row r="22" spans="1:16" s="41" customFormat="1" x14ac:dyDescent="0.3">
      <c r="A22" s="5" t="s">
        <v>13</v>
      </c>
      <c r="B22" s="25">
        <v>45794</v>
      </c>
      <c r="C22" s="37">
        <v>0</v>
      </c>
      <c r="D22" s="37">
        <v>0</v>
      </c>
      <c r="E22" s="37">
        <v>0</v>
      </c>
      <c r="F22" s="37">
        <v>0</v>
      </c>
      <c r="G22" s="43">
        <f t="shared" si="6"/>
        <v>0</v>
      </c>
      <c r="H22" s="43">
        <v>0</v>
      </c>
      <c r="I22" s="43">
        <v>0</v>
      </c>
      <c r="J22" s="18"/>
      <c r="K22" s="18">
        <f t="shared" ref="K22:K23" si="7">G22-I22+H22</f>
        <v>0</v>
      </c>
      <c r="L22" s="22"/>
      <c r="M22" s="40"/>
      <c r="N22" s="58"/>
      <c r="O22" s="58"/>
      <c r="P22" s="58"/>
    </row>
    <row r="23" spans="1:16" s="41" customFormat="1" x14ac:dyDescent="0.3">
      <c r="A23" s="5" t="s">
        <v>14</v>
      </c>
      <c r="B23" s="25">
        <v>45795</v>
      </c>
      <c r="C23" s="37">
        <v>0</v>
      </c>
      <c r="D23" s="37">
        <v>0</v>
      </c>
      <c r="E23" s="37">
        <v>0</v>
      </c>
      <c r="F23" s="37">
        <v>0</v>
      </c>
      <c r="G23" s="43">
        <f t="shared" si="6"/>
        <v>0</v>
      </c>
      <c r="H23" s="43">
        <v>0</v>
      </c>
      <c r="I23" s="43">
        <v>0</v>
      </c>
      <c r="J23" s="18"/>
      <c r="K23" s="18">
        <f t="shared" si="7"/>
        <v>0</v>
      </c>
      <c r="L23" s="22"/>
      <c r="M23" s="40"/>
      <c r="N23" s="58"/>
      <c r="O23" s="58"/>
      <c r="P23" s="58"/>
    </row>
    <row r="24" spans="1:16" x14ac:dyDescent="0.3">
      <c r="A24" s="4" t="s">
        <v>16</v>
      </c>
      <c r="B24" s="23">
        <v>45797</v>
      </c>
      <c r="C24" s="38">
        <v>0</v>
      </c>
      <c r="D24" s="38">
        <v>0</v>
      </c>
      <c r="E24" s="38">
        <v>0</v>
      </c>
      <c r="F24" s="38">
        <v>0</v>
      </c>
      <c r="G24" s="44">
        <f t="shared" ref="G24:G30" si="8">(F24*24-E24*24)+(D24*24-C24*24)</f>
        <v>0</v>
      </c>
      <c r="H24" s="42">
        <f>+$H$3*24</f>
        <v>0.5</v>
      </c>
      <c r="I24" s="42">
        <f>+$I$3*24</f>
        <v>8</v>
      </c>
      <c r="J24" s="42">
        <f>G24-I24-H24</f>
        <v>-8.5</v>
      </c>
      <c r="K24" s="39"/>
      <c r="L24" s="24"/>
      <c r="M24" s="2"/>
    </row>
    <row r="25" spans="1:16" x14ac:dyDescent="0.3">
      <c r="A25" s="4" t="s">
        <v>16</v>
      </c>
      <c r="B25" s="23">
        <v>45797</v>
      </c>
      <c r="C25" s="38">
        <v>0</v>
      </c>
      <c r="D25" s="38">
        <v>0</v>
      </c>
      <c r="E25" s="38">
        <v>0</v>
      </c>
      <c r="F25" s="38">
        <v>0</v>
      </c>
      <c r="G25" s="44">
        <f t="shared" si="8"/>
        <v>0</v>
      </c>
      <c r="H25" s="42">
        <f>+$H$3*24</f>
        <v>0.5</v>
      </c>
      <c r="I25" s="42">
        <f>+$I$3*24</f>
        <v>8</v>
      </c>
      <c r="J25" s="42">
        <f>G25-I25-H25</f>
        <v>-8.5</v>
      </c>
      <c r="K25" s="39"/>
      <c r="L25" s="24"/>
      <c r="M25" s="2"/>
    </row>
    <row r="26" spans="1:16" x14ac:dyDescent="0.3">
      <c r="A26" s="4" t="s">
        <v>17</v>
      </c>
      <c r="B26" s="23">
        <v>45798</v>
      </c>
      <c r="C26" s="38">
        <v>0</v>
      </c>
      <c r="D26" s="38">
        <v>0</v>
      </c>
      <c r="E26" s="38">
        <v>0</v>
      </c>
      <c r="F26" s="38">
        <v>0</v>
      </c>
      <c r="G26" s="44">
        <f t="shared" si="8"/>
        <v>0</v>
      </c>
      <c r="H26" s="42">
        <f>+$H$3*24</f>
        <v>0.5</v>
      </c>
      <c r="I26" s="42">
        <f>+$I$3*24</f>
        <v>8</v>
      </c>
      <c r="J26" s="42">
        <f>G26-I26-H26</f>
        <v>-8.5</v>
      </c>
      <c r="K26" s="39"/>
      <c r="L26" s="24"/>
      <c r="M26" s="2"/>
    </row>
    <row r="27" spans="1:16" x14ac:dyDescent="0.3">
      <c r="A27" s="4" t="s">
        <v>18</v>
      </c>
      <c r="B27" s="23">
        <v>45799</v>
      </c>
      <c r="C27" s="38">
        <v>0</v>
      </c>
      <c r="D27" s="38">
        <v>0</v>
      </c>
      <c r="E27" s="38">
        <v>0</v>
      </c>
      <c r="F27" s="38">
        <v>0</v>
      </c>
      <c r="G27" s="44">
        <f t="shared" si="8"/>
        <v>0</v>
      </c>
      <c r="H27" s="42">
        <f>+$H$3*24</f>
        <v>0.5</v>
      </c>
      <c r="I27" s="42">
        <f>+$I$3*24</f>
        <v>8</v>
      </c>
      <c r="J27" s="42">
        <f>G27-I27-H27</f>
        <v>-8.5</v>
      </c>
      <c r="K27" s="39"/>
      <c r="L27" s="24"/>
      <c r="M27" s="2"/>
    </row>
    <row r="28" spans="1:16" x14ac:dyDescent="0.3">
      <c r="A28" s="4" t="s">
        <v>12</v>
      </c>
      <c r="B28" s="23">
        <v>45800</v>
      </c>
      <c r="C28" s="38">
        <v>0</v>
      </c>
      <c r="D28" s="38">
        <v>0</v>
      </c>
      <c r="E28" s="38">
        <v>0</v>
      </c>
      <c r="F28" s="38">
        <v>0</v>
      </c>
      <c r="G28" s="44">
        <f t="shared" si="8"/>
        <v>0</v>
      </c>
      <c r="H28" s="42">
        <f>+$H$3*24</f>
        <v>0.5</v>
      </c>
      <c r="I28" s="42">
        <f>+$I$3*24</f>
        <v>8</v>
      </c>
      <c r="J28" s="42">
        <f>G28-I28-H28</f>
        <v>-8.5</v>
      </c>
      <c r="K28" s="39"/>
      <c r="L28" s="24"/>
      <c r="M28" s="2"/>
    </row>
    <row r="29" spans="1:16" s="41" customFormat="1" x14ac:dyDescent="0.3">
      <c r="A29" s="5" t="s">
        <v>13</v>
      </c>
      <c r="B29" s="25">
        <v>45801</v>
      </c>
      <c r="C29" s="37">
        <v>0</v>
      </c>
      <c r="D29" s="37">
        <v>0</v>
      </c>
      <c r="E29" s="37">
        <v>0</v>
      </c>
      <c r="F29" s="37">
        <v>0</v>
      </c>
      <c r="G29" s="43">
        <f t="shared" si="8"/>
        <v>0</v>
      </c>
      <c r="H29" s="43">
        <v>0</v>
      </c>
      <c r="I29" s="43">
        <v>0</v>
      </c>
      <c r="J29" s="18"/>
      <c r="K29" s="18">
        <f t="shared" ref="K29:K30" si="9">G29-I29+H29</f>
        <v>0</v>
      </c>
      <c r="L29" s="22"/>
      <c r="M29" s="40"/>
      <c r="N29" s="58"/>
      <c r="O29" s="58"/>
      <c r="P29" s="58"/>
    </row>
    <row r="30" spans="1:16" s="41" customFormat="1" x14ac:dyDescent="0.3">
      <c r="A30" s="5" t="s">
        <v>14</v>
      </c>
      <c r="B30" s="25">
        <v>45802</v>
      </c>
      <c r="C30" s="37">
        <v>0</v>
      </c>
      <c r="D30" s="37">
        <v>0</v>
      </c>
      <c r="E30" s="37">
        <v>0</v>
      </c>
      <c r="F30" s="37">
        <v>0</v>
      </c>
      <c r="G30" s="43">
        <f t="shared" si="8"/>
        <v>0</v>
      </c>
      <c r="H30" s="43">
        <v>0</v>
      </c>
      <c r="I30" s="43">
        <v>0</v>
      </c>
      <c r="J30" s="18"/>
      <c r="K30" s="18">
        <f t="shared" si="9"/>
        <v>0</v>
      </c>
      <c r="L30" s="22"/>
      <c r="M30" s="40"/>
      <c r="N30" s="58"/>
      <c r="O30" s="58"/>
      <c r="P30" s="58"/>
    </row>
    <row r="31" spans="1:16" x14ac:dyDescent="0.3">
      <c r="A31" s="4" t="s">
        <v>15</v>
      </c>
      <c r="B31" s="23">
        <v>45803</v>
      </c>
      <c r="C31" s="38">
        <v>0</v>
      </c>
      <c r="D31" s="38">
        <v>0</v>
      </c>
      <c r="E31" s="38">
        <v>0</v>
      </c>
      <c r="F31" s="38">
        <v>0</v>
      </c>
      <c r="G31" s="44">
        <f t="shared" ref="G31:G36" si="10">(F31*24-E31*24)+(D31*24-C31*24)</f>
        <v>0</v>
      </c>
      <c r="H31" s="42">
        <f>+$H$3*24</f>
        <v>0.5</v>
      </c>
      <c r="I31" s="42">
        <f>+$I$3*24</f>
        <v>8</v>
      </c>
      <c r="J31" s="42">
        <f>G31-I31-H31</f>
        <v>-8.5</v>
      </c>
      <c r="K31" s="39"/>
      <c r="L31" s="24"/>
      <c r="M31" s="2"/>
    </row>
    <row r="32" spans="1:16" x14ac:dyDescent="0.3">
      <c r="A32" s="4" t="s">
        <v>16</v>
      </c>
      <c r="B32" s="23">
        <v>45804</v>
      </c>
      <c r="C32" s="38">
        <v>0</v>
      </c>
      <c r="D32" s="38">
        <v>0</v>
      </c>
      <c r="E32" s="38">
        <v>0</v>
      </c>
      <c r="F32" s="38">
        <v>0</v>
      </c>
      <c r="G32" s="44">
        <f t="shared" si="10"/>
        <v>0</v>
      </c>
      <c r="H32" s="42">
        <f>+$H$3*24</f>
        <v>0.5</v>
      </c>
      <c r="I32" s="42">
        <f>+$I$3*24</f>
        <v>8</v>
      </c>
      <c r="J32" s="42">
        <f>G32-I32-H32</f>
        <v>-8.5</v>
      </c>
      <c r="K32" s="39"/>
      <c r="L32" s="24"/>
      <c r="M32" s="2"/>
    </row>
    <row r="33" spans="1:16" x14ac:dyDescent="0.3">
      <c r="A33" s="4" t="s">
        <v>17</v>
      </c>
      <c r="B33" s="23">
        <v>45805</v>
      </c>
      <c r="C33" s="38">
        <v>0</v>
      </c>
      <c r="D33" s="38">
        <v>0</v>
      </c>
      <c r="E33" s="38">
        <v>0</v>
      </c>
      <c r="F33" s="38">
        <v>0</v>
      </c>
      <c r="G33" s="44">
        <f t="shared" si="10"/>
        <v>0</v>
      </c>
      <c r="H33" s="42">
        <f>+$H$3*24</f>
        <v>0.5</v>
      </c>
      <c r="I33" s="42">
        <f>+$I$3*24</f>
        <v>8</v>
      </c>
      <c r="J33" s="42">
        <f>G33-I33-H33</f>
        <v>-8.5</v>
      </c>
      <c r="K33" s="39"/>
      <c r="L33" s="24"/>
      <c r="M33" s="2"/>
    </row>
    <row r="34" spans="1:16" x14ac:dyDescent="0.3">
      <c r="A34" s="4" t="s">
        <v>18</v>
      </c>
      <c r="B34" s="23">
        <v>45806</v>
      </c>
      <c r="C34" s="38">
        <v>0</v>
      </c>
      <c r="D34" s="38">
        <v>0</v>
      </c>
      <c r="E34" s="38">
        <v>0</v>
      </c>
      <c r="F34" s="38">
        <v>0</v>
      </c>
      <c r="G34" s="44">
        <f t="shared" si="10"/>
        <v>0</v>
      </c>
      <c r="H34" s="42">
        <f>+$H$3*24</f>
        <v>0.5</v>
      </c>
      <c r="I34" s="42">
        <f>+$I$3*24</f>
        <v>8</v>
      </c>
      <c r="J34" s="42">
        <f>G34-I34-H34</f>
        <v>-8.5</v>
      </c>
      <c r="K34" s="39"/>
      <c r="L34" s="24"/>
      <c r="M34" s="2"/>
    </row>
    <row r="35" spans="1:16" x14ac:dyDescent="0.3">
      <c r="A35" s="4" t="s">
        <v>12</v>
      </c>
      <c r="B35" s="23">
        <v>45807</v>
      </c>
      <c r="C35" s="38">
        <v>0</v>
      </c>
      <c r="D35" s="38">
        <v>0</v>
      </c>
      <c r="E35" s="38">
        <v>0</v>
      </c>
      <c r="F35" s="38">
        <v>0</v>
      </c>
      <c r="G35" s="44">
        <f t="shared" si="10"/>
        <v>0</v>
      </c>
      <c r="H35" s="42">
        <f>+$H$3*24</f>
        <v>0.5</v>
      </c>
      <c r="I35" s="42">
        <f>+$I$3*24</f>
        <v>8</v>
      </c>
      <c r="J35" s="42">
        <f>G35-I35-H35</f>
        <v>-8.5</v>
      </c>
      <c r="K35" s="39"/>
      <c r="L35" s="24"/>
      <c r="M35" s="2"/>
    </row>
    <row r="36" spans="1:16" s="41" customFormat="1" ht="17.25" thickBot="1" x14ac:dyDescent="0.35">
      <c r="A36" s="5" t="s">
        <v>13</v>
      </c>
      <c r="B36" s="61">
        <v>45808</v>
      </c>
      <c r="C36" s="62">
        <v>0</v>
      </c>
      <c r="D36" s="62">
        <v>0</v>
      </c>
      <c r="E36" s="62">
        <v>0</v>
      </c>
      <c r="F36" s="62">
        <v>0</v>
      </c>
      <c r="G36" s="63">
        <f t="shared" si="10"/>
        <v>0</v>
      </c>
      <c r="H36" s="63">
        <v>0</v>
      </c>
      <c r="I36" s="63">
        <v>0</v>
      </c>
      <c r="J36" s="64"/>
      <c r="K36" s="64">
        <f t="shared" ref="K36" si="11">G36-I36+H36</f>
        <v>0</v>
      </c>
      <c r="L36" s="65"/>
      <c r="M36" s="40"/>
      <c r="N36" s="58"/>
      <c r="O36" s="58"/>
      <c r="P36" s="58"/>
    </row>
    <row r="37" spans="1:16" x14ac:dyDescent="0.3">
      <c r="A37" s="13"/>
      <c r="B37" s="12"/>
      <c r="C37" s="2"/>
      <c r="D37" s="2"/>
      <c r="E37" s="2"/>
      <c r="F37" s="8"/>
      <c r="G37" s="9">
        <f>SUM(G6:G36)</f>
        <v>0</v>
      </c>
      <c r="H37" s="10">
        <f>SUM(H6:H36)</f>
        <v>10.5</v>
      </c>
      <c r="I37" s="11">
        <f>SUM(I6:I36)</f>
        <v>168</v>
      </c>
      <c r="J37" s="9">
        <f>SUM(J6:J36)</f>
        <v>-178.5</v>
      </c>
      <c r="K37" s="9">
        <f>SUM(K6:K36)</f>
        <v>0</v>
      </c>
      <c r="L37" s="2"/>
      <c r="M37" s="2"/>
    </row>
    <row r="38" spans="1:16" x14ac:dyDescent="0.3">
      <c r="A38" s="14"/>
      <c r="B38" s="12"/>
    </row>
    <row r="39" spans="1:16" x14ac:dyDescent="0.3">
      <c r="B39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E354-24F2-425B-8843-866C964C3728}">
  <sheetPr>
    <pageSetUpPr fitToPage="1"/>
  </sheetPr>
  <dimension ref="A1:P38"/>
  <sheetViews>
    <sheetView workbookViewId="0">
      <selection activeCell="Q10" sqref="Q10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4" width="11.42578125" style="1"/>
    <col min="15" max="15" width="10.5703125" style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28</v>
      </c>
      <c r="G3" s="2"/>
      <c r="H3" s="52">
        <v>2.0833333333333332E-2</v>
      </c>
      <c r="I3" s="53">
        <v>0.33333333333333331</v>
      </c>
      <c r="J3" s="2"/>
      <c r="K3" s="2"/>
      <c r="N3" s="59">
        <f>J37</f>
        <v>0</v>
      </c>
      <c r="O3" s="59">
        <f>K37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0</v>
      </c>
      <c r="O5" s="71">
        <f>+O3*O1</f>
        <v>0</v>
      </c>
      <c r="P5" s="71">
        <f>+O5+N5</f>
        <v>0</v>
      </c>
    </row>
    <row r="6" spans="1:16" s="41" customFormat="1" x14ac:dyDescent="0.3">
      <c r="A6" s="5" t="s">
        <v>14</v>
      </c>
      <c r="B6" s="25">
        <v>45809</v>
      </c>
      <c r="C6" s="37">
        <v>0</v>
      </c>
      <c r="D6" s="37">
        <v>0</v>
      </c>
      <c r="E6" s="37">
        <v>0</v>
      </c>
      <c r="F6" s="37">
        <v>0</v>
      </c>
      <c r="G6" s="43">
        <f t="shared" ref="G6" si="0">(F6*24-E6*24)+(D6*24-C6*24)</f>
        <v>0</v>
      </c>
      <c r="H6" s="43">
        <v>0</v>
      </c>
      <c r="I6" s="43">
        <v>0</v>
      </c>
      <c r="J6" s="18"/>
      <c r="K6" s="18">
        <f t="shared" ref="K6" si="1">G6-I6+H6</f>
        <v>0</v>
      </c>
      <c r="L6" s="22"/>
      <c r="M6" s="40"/>
      <c r="N6" s="58"/>
      <c r="O6" s="58"/>
      <c r="P6" s="58"/>
    </row>
    <row r="7" spans="1:16" x14ac:dyDescent="0.3">
      <c r="A7" s="4" t="s">
        <v>15</v>
      </c>
      <c r="B7" s="23">
        <v>45810</v>
      </c>
      <c r="C7" s="38">
        <v>0</v>
      </c>
      <c r="D7" s="38">
        <v>0</v>
      </c>
      <c r="E7" s="38">
        <v>0</v>
      </c>
      <c r="F7" s="38">
        <v>0</v>
      </c>
      <c r="G7" s="44">
        <f t="shared" ref="G7:G13" si="2">(F7*24-E7*24)+(D7*24-C7*24)</f>
        <v>0</v>
      </c>
      <c r="H7" s="42">
        <f>+$H$3*24</f>
        <v>0.5</v>
      </c>
      <c r="I7" s="42">
        <f>+$I$3*24</f>
        <v>8</v>
      </c>
      <c r="J7" s="42">
        <f>G7-I7-H7</f>
        <v>-8.5</v>
      </c>
      <c r="K7" s="39"/>
      <c r="L7" s="24"/>
      <c r="M7" s="2"/>
      <c r="N7" s="15"/>
      <c r="O7" s="15"/>
      <c r="P7" s="15"/>
    </row>
    <row r="8" spans="1:16" x14ac:dyDescent="0.3">
      <c r="A8" s="4" t="s">
        <v>16</v>
      </c>
      <c r="B8" s="23">
        <v>45811</v>
      </c>
      <c r="C8" s="38">
        <v>0</v>
      </c>
      <c r="D8" s="38">
        <v>0</v>
      </c>
      <c r="E8" s="38">
        <v>0</v>
      </c>
      <c r="F8" s="38">
        <v>0</v>
      </c>
      <c r="G8" s="44">
        <f t="shared" si="2"/>
        <v>0</v>
      </c>
      <c r="H8" s="42">
        <f>+$H$3*24</f>
        <v>0.5</v>
      </c>
      <c r="I8" s="42">
        <f>+$I$3*24</f>
        <v>8</v>
      </c>
      <c r="J8" s="42">
        <f>G8-I8-H8</f>
        <v>-8.5</v>
      </c>
      <c r="K8" s="39"/>
      <c r="L8" s="24"/>
      <c r="M8" s="2"/>
      <c r="N8" s="15"/>
      <c r="O8" s="15"/>
      <c r="P8" s="15"/>
    </row>
    <row r="9" spans="1:16" x14ac:dyDescent="0.3">
      <c r="A9" s="4" t="s">
        <v>17</v>
      </c>
      <c r="B9" s="23">
        <v>45812</v>
      </c>
      <c r="C9" s="38">
        <v>0</v>
      </c>
      <c r="D9" s="38">
        <v>0</v>
      </c>
      <c r="E9" s="38">
        <v>0</v>
      </c>
      <c r="F9" s="38">
        <v>0</v>
      </c>
      <c r="G9" s="44">
        <f t="shared" si="2"/>
        <v>0</v>
      </c>
      <c r="H9" s="42">
        <f>+$H$3*24</f>
        <v>0.5</v>
      </c>
      <c r="I9" s="42">
        <f>+$I$3*24</f>
        <v>8</v>
      </c>
      <c r="J9" s="42">
        <f>G9-I9-H9</f>
        <v>-8.5</v>
      </c>
      <c r="K9" s="39"/>
      <c r="L9" s="24"/>
      <c r="M9" s="2"/>
      <c r="P9" s="16"/>
    </row>
    <row r="10" spans="1:16" x14ac:dyDescent="0.3">
      <c r="A10" s="4" t="s">
        <v>18</v>
      </c>
      <c r="B10" s="23">
        <v>45813</v>
      </c>
      <c r="C10" s="38">
        <v>0</v>
      </c>
      <c r="D10" s="38">
        <v>0</v>
      </c>
      <c r="E10" s="38">
        <v>0</v>
      </c>
      <c r="F10" s="38">
        <v>0</v>
      </c>
      <c r="G10" s="44">
        <f t="shared" si="2"/>
        <v>0</v>
      </c>
      <c r="H10" s="42">
        <f>+$H$3*24</f>
        <v>0.5</v>
      </c>
      <c r="I10" s="42">
        <f>+$I$3*24</f>
        <v>8</v>
      </c>
      <c r="J10" s="42">
        <f>G10-I10-H10</f>
        <v>-8.5</v>
      </c>
      <c r="K10" s="39"/>
      <c r="L10" s="24"/>
      <c r="M10" s="2"/>
    </row>
    <row r="11" spans="1:16" x14ac:dyDescent="0.3">
      <c r="A11" s="4" t="s">
        <v>12</v>
      </c>
      <c r="B11" s="23">
        <v>45814</v>
      </c>
      <c r="C11" s="38">
        <v>0</v>
      </c>
      <c r="D11" s="38">
        <v>0</v>
      </c>
      <c r="E11" s="38">
        <v>0</v>
      </c>
      <c r="F11" s="38">
        <v>0</v>
      </c>
      <c r="G11" s="44">
        <f t="shared" si="2"/>
        <v>0</v>
      </c>
      <c r="H11" s="42">
        <f>+$H$3*24</f>
        <v>0.5</v>
      </c>
      <c r="I11" s="42">
        <f>+$I$3*24</f>
        <v>8</v>
      </c>
      <c r="J11" s="42">
        <f>G11-I11-H11</f>
        <v>-8.5</v>
      </c>
      <c r="K11" s="39"/>
      <c r="L11" s="24"/>
      <c r="M11" s="2"/>
    </row>
    <row r="12" spans="1:16" s="41" customFormat="1" x14ac:dyDescent="0.3">
      <c r="A12" s="5" t="s">
        <v>13</v>
      </c>
      <c r="B12" s="25">
        <v>45815</v>
      </c>
      <c r="C12" s="37">
        <v>0</v>
      </c>
      <c r="D12" s="37">
        <v>0</v>
      </c>
      <c r="E12" s="37">
        <v>0</v>
      </c>
      <c r="F12" s="37">
        <v>0</v>
      </c>
      <c r="G12" s="43">
        <f t="shared" si="2"/>
        <v>0</v>
      </c>
      <c r="H12" s="43">
        <v>0</v>
      </c>
      <c r="I12" s="43">
        <v>0</v>
      </c>
      <c r="J12" s="18"/>
      <c r="K12" s="18">
        <f t="shared" ref="K12:K13" si="3">G12-I12+H12</f>
        <v>0</v>
      </c>
      <c r="L12" s="22"/>
      <c r="M12" s="40"/>
      <c r="N12" s="58"/>
      <c r="O12" s="58"/>
      <c r="P12" s="58"/>
    </row>
    <row r="13" spans="1:16" s="41" customFormat="1" x14ac:dyDescent="0.3">
      <c r="A13" s="5" t="s">
        <v>14</v>
      </c>
      <c r="B13" s="25">
        <v>45816</v>
      </c>
      <c r="C13" s="37">
        <v>0</v>
      </c>
      <c r="D13" s="37">
        <v>0</v>
      </c>
      <c r="E13" s="37">
        <v>0</v>
      </c>
      <c r="F13" s="37">
        <v>0</v>
      </c>
      <c r="G13" s="43">
        <f t="shared" si="2"/>
        <v>0</v>
      </c>
      <c r="H13" s="43">
        <v>0</v>
      </c>
      <c r="I13" s="43">
        <v>0</v>
      </c>
      <c r="J13" s="18"/>
      <c r="K13" s="18">
        <f t="shared" si="3"/>
        <v>0</v>
      </c>
      <c r="L13" s="22"/>
      <c r="M13" s="40"/>
      <c r="N13" s="58"/>
      <c r="O13" s="58"/>
      <c r="P13" s="58"/>
    </row>
    <row r="14" spans="1:16" x14ac:dyDescent="0.3">
      <c r="A14" s="4" t="s">
        <v>15</v>
      </c>
      <c r="B14" s="23">
        <v>45817</v>
      </c>
      <c r="C14" s="38">
        <v>0</v>
      </c>
      <c r="D14" s="38">
        <v>0</v>
      </c>
      <c r="E14" s="38">
        <v>0</v>
      </c>
      <c r="F14" s="38">
        <v>0</v>
      </c>
      <c r="G14" s="44">
        <f t="shared" ref="G14:G20" si="4">(F14*24-E14*24)+(D14*24-C14*24)</f>
        <v>0</v>
      </c>
      <c r="H14" s="42">
        <f>+$H$3*24</f>
        <v>0.5</v>
      </c>
      <c r="I14" s="42">
        <f>+$I$3*24</f>
        <v>8</v>
      </c>
      <c r="J14" s="42">
        <f>G14-I14-H14</f>
        <v>-8.5</v>
      </c>
      <c r="K14" s="39"/>
      <c r="L14" s="24"/>
      <c r="M14" s="2"/>
    </row>
    <row r="15" spans="1:16" x14ac:dyDescent="0.3">
      <c r="A15" s="4" t="s">
        <v>16</v>
      </c>
      <c r="B15" s="23">
        <v>45818</v>
      </c>
      <c r="C15" s="38">
        <v>0</v>
      </c>
      <c r="D15" s="38">
        <v>0</v>
      </c>
      <c r="E15" s="38">
        <v>0</v>
      </c>
      <c r="F15" s="38">
        <v>0</v>
      </c>
      <c r="G15" s="44">
        <f t="shared" si="4"/>
        <v>0</v>
      </c>
      <c r="H15" s="42">
        <f>+$H$3*24</f>
        <v>0.5</v>
      </c>
      <c r="I15" s="42">
        <f>+$I$3*24</f>
        <v>8</v>
      </c>
      <c r="J15" s="42">
        <f>G15-I15-H15</f>
        <v>-8.5</v>
      </c>
      <c r="K15" s="39"/>
      <c r="L15" s="24"/>
      <c r="M15" s="2"/>
    </row>
    <row r="16" spans="1:16" x14ac:dyDescent="0.3">
      <c r="A16" s="4" t="s">
        <v>17</v>
      </c>
      <c r="B16" s="23">
        <v>45819</v>
      </c>
      <c r="C16" s="38">
        <v>0</v>
      </c>
      <c r="D16" s="38">
        <v>0</v>
      </c>
      <c r="E16" s="38">
        <v>0</v>
      </c>
      <c r="F16" s="38">
        <v>0</v>
      </c>
      <c r="G16" s="44">
        <f t="shared" si="4"/>
        <v>0</v>
      </c>
      <c r="H16" s="42">
        <f>+$H$3*24</f>
        <v>0.5</v>
      </c>
      <c r="I16" s="42">
        <f>+$I$3*24</f>
        <v>8</v>
      </c>
      <c r="J16" s="42">
        <f>G16-I16-H16</f>
        <v>-8.5</v>
      </c>
      <c r="K16" s="39"/>
      <c r="L16" s="24"/>
      <c r="M16" s="2"/>
    </row>
    <row r="17" spans="1:16" x14ac:dyDescent="0.3">
      <c r="A17" s="4" t="s">
        <v>18</v>
      </c>
      <c r="B17" s="23">
        <v>45820</v>
      </c>
      <c r="C17" s="38">
        <v>0</v>
      </c>
      <c r="D17" s="38">
        <v>0</v>
      </c>
      <c r="E17" s="38">
        <v>0</v>
      </c>
      <c r="F17" s="38">
        <v>0</v>
      </c>
      <c r="G17" s="44">
        <f t="shared" si="4"/>
        <v>0</v>
      </c>
      <c r="H17" s="42">
        <f>+$H$3*24</f>
        <v>0.5</v>
      </c>
      <c r="I17" s="42">
        <f>+$I$3*24</f>
        <v>8</v>
      </c>
      <c r="J17" s="42">
        <f>G17-I17-H17</f>
        <v>-8.5</v>
      </c>
      <c r="K17" s="39"/>
      <c r="L17" s="24"/>
      <c r="M17" s="2"/>
    </row>
    <row r="18" spans="1:16" x14ac:dyDescent="0.3">
      <c r="A18" s="4" t="s">
        <v>12</v>
      </c>
      <c r="B18" s="23">
        <v>45821</v>
      </c>
      <c r="C18" s="38">
        <v>0</v>
      </c>
      <c r="D18" s="38">
        <v>0</v>
      </c>
      <c r="E18" s="38">
        <v>0</v>
      </c>
      <c r="F18" s="38">
        <v>0</v>
      </c>
      <c r="G18" s="44">
        <f t="shared" si="4"/>
        <v>0</v>
      </c>
      <c r="H18" s="42">
        <f>+$H$3*24</f>
        <v>0.5</v>
      </c>
      <c r="I18" s="42">
        <f>+$I$3*24</f>
        <v>8</v>
      </c>
      <c r="J18" s="42">
        <f>G18-I18-H18</f>
        <v>-8.5</v>
      </c>
      <c r="K18" s="39"/>
      <c r="L18" s="24"/>
      <c r="M18" s="2"/>
    </row>
    <row r="19" spans="1:16" s="41" customFormat="1" x14ac:dyDescent="0.3">
      <c r="A19" s="5" t="s">
        <v>13</v>
      </c>
      <c r="B19" s="25">
        <v>45822</v>
      </c>
      <c r="C19" s="37">
        <v>0</v>
      </c>
      <c r="D19" s="37">
        <v>0</v>
      </c>
      <c r="E19" s="37">
        <v>0</v>
      </c>
      <c r="F19" s="37">
        <v>0</v>
      </c>
      <c r="G19" s="43">
        <f t="shared" si="4"/>
        <v>0</v>
      </c>
      <c r="H19" s="43">
        <v>0</v>
      </c>
      <c r="I19" s="43">
        <v>0</v>
      </c>
      <c r="J19" s="18"/>
      <c r="K19" s="18">
        <f t="shared" ref="K19:K20" si="5">G19-I19+H19</f>
        <v>0</v>
      </c>
      <c r="L19" s="22"/>
      <c r="M19" s="40"/>
      <c r="N19" s="58"/>
      <c r="O19" s="58"/>
      <c r="P19" s="58"/>
    </row>
    <row r="20" spans="1:16" s="41" customFormat="1" x14ac:dyDescent="0.3">
      <c r="A20" s="5" t="s">
        <v>14</v>
      </c>
      <c r="B20" s="25">
        <v>45823</v>
      </c>
      <c r="C20" s="37">
        <v>0</v>
      </c>
      <c r="D20" s="37">
        <v>0</v>
      </c>
      <c r="E20" s="37">
        <v>0</v>
      </c>
      <c r="F20" s="37">
        <v>0</v>
      </c>
      <c r="G20" s="43">
        <f t="shared" si="4"/>
        <v>0</v>
      </c>
      <c r="H20" s="43">
        <v>0</v>
      </c>
      <c r="I20" s="43">
        <v>0</v>
      </c>
      <c r="J20" s="18"/>
      <c r="K20" s="18">
        <f t="shared" si="5"/>
        <v>0</v>
      </c>
      <c r="L20" s="22"/>
      <c r="M20" s="40"/>
      <c r="N20" s="58"/>
      <c r="O20" s="58"/>
      <c r="P20" s="58"/>
    </row>
    <row r="21" spans="1:16" x14ac:dyDescent="0.3">
      <c r="A21" s="4" t="s">
        <v>15</v>
      </c>
      <c r="B21" s="23">
        <v>45824</v>
      </c>
      <c r="C21" s="38">
        <v>0</v>
      </c>
      <c r="D21" s="38">
        <v>0</v>
      </c>
      <c r="E21" s="38">
        <v>0</v>
      </c>
      <c r="F21" s="38">
        <v>0</v>
      </c>
      <c r="G21" s="44">
        <f t="shared" ref="G21:G27" si="6">(F21*24-E21*24)+(D21*24-C21*24)</f>
        <v>0</v>
      </c>
      <c r="H21" s="42">
        <f>+$H$3*24</f>
        <v>0.5</v>
      </c>
      <c r="I21" s="42">
        <f>+$I$3*24</f>
        <v>8</v>
      </c>
      <c r="J21" s="42">
        <f>G21-I21-H21</f>
        <v>-8.5</v>
      </c>
      <c r="K21" s="39"/>
      <c r="L21" s="24"/>
      <c r="M21" s="2"/>
    </row>
    <row r="22" spans="1:16" x14ac:dyDescent="0.3">
      <c r="A22" s="4" t="s">
        <v>16</v>
      </c>
      <c r="B22" s="23">
        <v>45825</v>
      </c>
      <c r="C22" s="38">
        <v>0</v>
      </c>
      <c r="D22" s="38">
        <v>0</v>
      </c>
      <c r="E22" s="38">
        <v>0</v>
      </c>
      <c r="F22" s="38">
        <v>0</v>
      </c>
      <c r="G22" s="44">
        <f t="shared" si="6"/>
        <v>0</v>
      </c>
      <c r="H22" s="42">
        <f>+$H$3*24</f>
        <v>0.5</v>
      </c>
      <c r="I22" s="42">
        <f>+$I$3*24</f>
        <v>8</v>
      </c>
      <c r="J22" s="42">
        <f>G22-I22-H22</f>
        <v>-8.5</v>
      </c>
      <c r="K22" s="39"/>
      <c r="L22" s="24"/>
      <c r="M22" s="2"/>
    </row>
    <row r="23" spans="1:16" x14ac:dyDescent="0.3">
      <c r="A23" s="4" t="s">
        <v>17</v>
      </c>
      <c r="B23" s="23">
        <v>45826</v>
      </c>
      <c r="C23" s="38">
        <v>0</v>
      </c>
      <c r="D23" s="38">
        <v>0</v>
      </c>
      <c r="E23" s="38">
        <v>0</v>
      </c>
      <c r="F23" s="38">
        <v>0</v>
      </c>
      <c r="G23" s="44">
        <f t="shared" si="6"/>
        <v>0</v>
      </c>
      <c r="H23" s="42">
        <f>+$H$3*24</f>
        <v>0.5</v>
      </c>
      <c r="I23" s="42">
        <f>+$I$3*24</f>
        <v>8</v>
      </c>
      <c r="J23" s="42">
        <f>G23-I23-H23</f>
        <v>-8.5</v>
      </c>
      <c r="K23" s="39"/>
      <c r="L23" s="24"/>
      <c r="M23" s="2"/>
    </row>
    <row r="24" spans="1:16" x14ac:dyDescent="0.3">
      <c r="A24" s="4" t="s">
        <v>18</v>
      </c>
      <c r="B24" s="23">
        <v>45827</v>
      </c>
      <c r="C24" s="38">
        <v>0</v>
      </c>
      <c r="D24" s="38">
        <v>0</v>
      </c>
      <c r="E24" s="38">
        <v>0</v>
      </c>
      <c r="F24" s="38">
        <v>0</v>
      </c>
      <c r="G24" s="44">
        <f t="shared" si="6"/>
        <v>0</v>
      </c>
      <c r="H24" s="42">
        <f>+$H$3*24</f>
        <v>0.5</v>
      </c>
      <c r="I24" s="42">
        <f>+$I$3*24</f>
        <v>8</v>
      </c>
      <c r="J24" s="42">
        <f>G24-I24-H24</f>
        <v>-8.5</v>
      </c>
      <c r="K24" s="39"/>
      <c r="L24" s="24"/>
      <c r="M24" s="2"/>
    </row>
    <row r="25" spans="1:16" x14ac:dyDescent="0.3">
      <c r="A25" s="4" t="s">
        <v>12</v>
      </c>
      <c r="B25" s="23">
        <v>45828</v>
      </c>
      <c r="C25" s="38">
        <v>0</v>
      </c>
      <c r="D25" s="38">
        <v>0</v>
      </c>
      <c r="E25" s="38">
        <v>0</v>
      </c>
      <c r="F25" s="38">
        <v>0</v>
      </c>
      <c r="G25" s="44">
        <f t="shared" si="6"/>
        <v>0</v>
      </c>
      <c r="H25" s="42">
        <f>+$H$3*24</f>
        <v>0.5</v>
      </c>
      <c r="I25" s="42">
        <f>+$I$3*24</f>
        <v>8</v>
      </c>
      <c r="J25" s="42">
        <f>G25-I25-H25</f>
        <v>-8.5</v>
      </c>
      <c r="K25" s="39"/>
      <c r="L25" s="24"/>
      <c r="M25" s="2"/>
    </row>
    <row r="26" spans="1:16" s="41" customFormat="1" x14ac:dyDescent="0.3">
      <c r="A26" s="5" t="s">
        <v>13</v>
      </c>
      <c r="B26" s="25">
        <v>45829</v>
      </c>
      <c r="C26" s="37">
        <v>0</v>
      </c>
      <c r="D26" s="37">
        <v>0</v>
      </c>
      <c r="E26" s="37">
        <v>0</v>
      </c>
      <c r="F26" s="37">
        <v>0</v>
      </c>
      <c r="G26" s="43">
        <f t="shared" si="6"/>
        <v>0</v>
      </c>
      <c r="H26" s="43">
        <v>0</v>
      </c>
      <c r="I26" s="43">
        <v>0</v>
      </c>
      <c r="J26" s="18"/>
      <c r="K26" s="18">
        <f t="shared" ref="K26:K27" si="7">G26-I26+H26</f>
        <v>0</v>
      </c>
      <c r="L26" s="22"/>
      <c r="M26" s="40"/>
      <c r="N26" s="58"/>
      <c r="O26" s="58"/>
      <c r="P26" s="58"/>
    </row>
    <row r="27" spans="1:16" s="41" customFormat="1" x14ac:dyDescent="0.3">
      <c r="A27" s="5" t="s">
        <v>14</v>
      </c>
      <c r="B27" s="25">
        <v>45830</v>
      </c>
      <c r="C27" s="37">
        <v>0</v>
      </c>
      <c r="D27" s="37">
        <v>0</v>
      </c>
      <c r="E27" s="37">
        <v>0</v>
      </c>
      <c r="F27" s="37">
        <v>0</v>
      </c>
      <c r="G27" s="43">
        <f t="shared" si="6"/>
        <v>0</v>
      </c>
      <c r="H27" s="43">
        <v>0</v>
      </c>
      <c r="I27" s="43">
        <v>0</v>
      </c>
      <c r="J27" s="18"/>
      <c r="K27" s="18">
        <f t="shared" si="7"/>
        <v>0</v>
      </c>
      <c r="L27" s="22"/>
      <c r="M27" s="40"/>
      <c r="N27" s="58"/>
      <c r="O27" s="58"/>
      <c r="P27" s="58"/>
    </row>
    <row r="28" spans="1:16" x14ac:dyDescent="0.3">
      <c r="A28" s="4" t="s">
        <v>15</v>
      </c>
      <c r="B28" s="23">
        <v>45831</v>
      </c>
      <c r="C28" s="38">
        <v>0</v>
      </c>
      <c r="D28" s="38">
        <v>0</v>
      </c>
      <c r="E28" s="38">
        <v>0</v>
      </c>
      <c r="F28" s="38">
        <v>0</v>
      </c>
      <c r="G28" s="44">
        <f t="shared" ref="G28:G34" si="8">(F28*24-E28*24)+(D28*24-C28*24)</f>
        <v>0</v>
      </c>
      <c r="H28" s="42">
        <f>+$H$3*24</f>
        <v>0.5</v>
      </c>
      <c r="I28" s="42">
        <f>+$I$3*24</f>
        <v>8</v>
      </c>
      <c r="J28" s="42">
        <f>G28-I28-H28</f>
        <v>-8.5</v>
      </c>
      <c r="K28" s="39"/>
      <c r="L28" s="24"/>
      <c r="M28" s="2"/>
    </row>
    <row r="29" spans="1:16" x14ac:dyDescent="0.3">
      <c r="A29" s="4" t="s">
        <v>16</v>
      </c>
      <c r="B29" s="23">
        <v>45832</v>
      </c>
      <c r="C29" s="38">
        <v>0</v>
      </c>
      <c r="D29" s="38">
        <v>0</v>
      </c>
      <c r="E29" s="38">
        <v>0</v>
      </c>
      <c r="F29" s="38">
        <v>0</v>
      </c>
      <c r="G29" s="44">
        <f t="shared" si="8"/>
        <v>0</v>
      </c>
      <c r="H29" s="42">
        <f>+$H$3*24</f>
        <v>0.5</v>
      </c>
      <c r="I29" s="42">
        <f>+$I$3*24</f>
        <v>8</v>
      </c>
      <c r="J29" s="42">
        <f>G29-I29-H29</f>
        <v>-8.5</v>
      </c>
      <c r="K29" s="39"/>
      <c r="L29" s="24"/>
      <c r="M29" s="2"/>
    </row>
    <row r="30" spans="1:16" x14ac:dyDescent="0.3">
      <c r="A30" s="4" t="s">
        <v>17</v>
      </c>
      <c r="B30" s="23">
        <v>45833</v>
      </c>
      <c r="C30" s="38">
        <v>0</v>
      </c>
      <c r="D30" s="38">
        <v>0</v>
      </c>
      <c r="E30" s="38">
        <v>0</v>
      </c>
      <c r="F30" s="38">
        <v>0</v>
      </c>
      <c r="G30" s="44">
        <f t="shared" si="8"/>
        <v>0</v>
      </c>
      <c r="H30" s="42">
        <f>+$H$3*24</f>
        <v>0.5</v>
      </c>
      <c r="I30" s="42">
        <f>+$I$3*24</f>
        <v>8</v>
      </c>
      <c r="J30" s="42">
        <f>G30-I30-H30</f>
        <v>-8.5</v>
      </c>
      <c r="K30" s="39"/>
      <c r="L30" s="24"/>
      <c r="M30" s="2"/>
    </row>
    <row r="31" spans="1:16" x14ac:dyDescent="0.3">
      <c r="A31" s="4" t="s">
        <v>18</v>
      </c>
      <c r="B31" s="23">
        <v>45834</v>
      </c>
      <c r="C31" s="38">
        <v>0</v>
      </c>
      <c r="D31" s="38">
        <v>0</v>
      </c>
      <c r="E31" s="38">
        <v>0</v>
      </c>
      <c r="F31" s="38">
        <v>0</v>
      </c>
      <c r="G31" s="44">
        <f t="shared" si="8"/>
        <v>0</v>
      </c>
      <c r="H31" s="42">
        <f>+$H$3*24</f>
        <v>0.5</v>
      </c>
      <c r="I31" s="42">
        <f>+$I$3*24</f>
        <v>8</v>
      </c>
      <c r="J31" s="42">
        <f>G31-I31-H31</f>
        <v>-8.5</v>
      </c>
      <c r="K31" s="39"/>
      <c r="L31" s="24"/>
      <c r="M31" s="2"/>
    </row>
    <row r="32" spans="1:16" x14ac:dyDescent="0.3">
      <c r="A32" s="4" t="s">
        <v>12</v>
      </c>
      <c r="B32" s="23">
        <v>45835</v>
      </c>
      <c r="C32" s="38">
        <v>0</v>
      </c>
      <c r="D32" s="38">
        <v>0</v>
      </c>
      <c r="E32" s="38">
        <v>0</v>
      </c>
      <c r="F32" s="38">
        <v>0</v>
      </c>
      <c r="G32" s="44">
        <f t="shared" si="8"/>
        <v>0</v>
      </c>
      <c r="H32" s="42">
        <f>+$H$3*24</f>
        <v>0.5</v>
      </c>
      <c r="I32" s="42">
        <f>+$I$3*24</f>
        <v>8</v>
      </c>
      <c r="J32" s="42">
        <f>G32-I32-H32</f>
        <v>-8.5</v>
      </c>
      <c r="K32" s="39"/>
      <c r="L32" s="24"/>
      <c r="M32" s="2"/>
    </row>
    <row r="33" spans="1:16" s="41" customFormat="1" x14ac:dyDescent="0.3">
      <c r="A33" s="5" t="s">
        <v>13</v>
      </c>
      <c r="B33" s="25">
        <v>45836</v>
      </c>
      <c r="C33" s="37">
        <v>0</v>
      </c>
      <c r="D33" s="37">
        <v>0</v>
      </c>
      <c r="E33" s="37">
        <v>0</v>
      </c>
      <c r="F33" s="37">
        <v>0</v>
      </c>
      <c r="G33" s="43">
        <f t="shared" si="8"/>
        <v>0</v>
      </c>
      <c r="H33" s="43">
        <v>0</v>
      </c>
      <c r="I33" s="43">
        <v>0</v>
      </c>
      <c r="J33" s="18"/>
      <c r="K33" s="18">
        <f t="shared" ref="K33:K34" si="9">G33-I33+H33</f>
        <v>0</v>
      </c>
      <c r="L33" s="22"/>
      <c r="M33" s="40"/>
      <c r="N33" s="58"/>
      <c r="O33" s="58"/>
      <c r="P33" s="58"/>
    </row>
    <row r="34" spans="1:16" s="41" customFormat="1" x14ac:dyDescent="0.3">
      <c r="A34" s="5" t="s">
        <v>14</v>
      </c>
      <c r="B34" s="25">
        <v>45837</v>
      </c>
      <c r="C34" s="37">
        <v>0</v>
      </c>
      <c r="D34" s="37">
        <v>0</v>
      </c>
      <c r="E34" s="37">
        <v>0</v>
      </c>
      <c r="F34" s="37">
        <v>0</v>
      </c>
      <c r="G34" s="43">
        <f t="shared" si="8"/>
        <v>0</v>
      </c>
      <c r="H34" s="43">
        <v>0</v>
      </c>
      <c r="I34" s="43">
        <v>0</v>
      </c>
      <c r="J34" s="18"/>
      <c r="K34" s="18">
        <f t="shared" si="9"/>
        <v>0</v>
      </c>
      <c r="L34" s="22"/>
      <c r="M34" s="40"/>
      <c r="N34" s="58"/>
      <c r="O34" s="58"/>
      <c r="P34" s="58"/>
    </row>
    <row r="35" spans="1:16" ht="17.25" thickBot="1" x14ac:dyDescent="0.35">
      <c r="A35" s="4" t="s">
        <v>15</v>
      </c>
      <c r="B35" s="27">
        <v>45838</v>
      </c>
      <c r="C35" s="47">
        <v>0</v>
      </c>
      <c r="D35" s="47">
        <v>0</v>
      </c>
      <c r="E35" s="47">
        <v>0</v>
      </c>
      <c r="F35" s="47">
        <v>0</v>
      </c>
      <c r="G35" s="48">
        <f t="shared" ref="G35" si="10">(F35*24-E35*24)+(D35*24-C35*24)</f>
        <v>0</v>
      </c>
      <c r="H35" s="49">
        <f>+$H$3*24</f>
        <v>0.5</v>
      </c>
      <c r="I35" s="49">
        <f>+$I$3*24</f>
        <v>8</v>
      </c>
      <c r="J35" s="49">
        <f>G35-I35-H35</f>
        <v>-8.5</v>
      </c>
      <c r="K35" s="50"/>
      <c r="L35" s="28"/>
      <c r="M35" s="2"/>
    </row>
    <row r="36" spans="1:16" x14ac:dyDescent="0.3">
      <c r="A36" s="13"/>
      <c r="B36" s="12"/>
      <c r="C36" s="2"/>
      <c r="D36" s="2"/>
      <c r="E36" s="2"/>
      <c r="F36" s="8"/>
      <c r="G36" s="9">
        <f>SUM(G6:G35)</f>
        <v>0</v>
      </c>
      <c r="H36" s="10">
        <f>SUM(H6:H35)</f>
        <v>10.5</v>
      </c>
      <c r="I36" s="11">
        <f>SUM(I6:I35)</f>
        <v>168</v>
      </c>
      <c r="J36" s="9">
        <f>SUM(J6:J35)</f>
        <v>-178.5</v>
      </c>
      <c r="K36" s="9">
        <f>SUM(K6:K35)</f>
        <v>0</v>
      </c>
      <c r="L36" s="2"/>
      <c r="M36" s="2"/>
    </row>
    <row r="37" spans="1:16" x14ac:dyDescent="0.3">
      <c r="A37" s="14"/>
      <c r="B37" s="12"/>
    </row>
    <row r="38" spans="1:16" x14ac:dyDescent="0.3">
      <c r="B38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5C57-7206-46C8-AC7D-4338FFC39E4D}">
  <sheetPr>
    <pageSetUpPr fitToPage="1"/>
  </sheetPr>
  <dimension ref="A1:P39"/>
  <sheetViews>
    <sheetView workbookViewId="0">
      <selection activeCell="Q10" sqref="Q10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4" width="11.42578125" style="1"/>
    <col min="15" max="15" width="10.5703125" style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27</v>
      </c>
      <c r="G3" s="2"/>
      <c r="H3" s="52">
        <v>2.0833333333333332E-2</v>
      </c>
      <c r="I3" s="53">
        <v>0.33333333333333331</v>
      </c>
      <c r="J3" s="2"/>
      <c r="K3" s="2"/>
      <c r="N3" s="59">
        <f>J37</f>
        <v>-187</v>
      </c>
      <c r="O3" s="59">
        <f>K37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-1683</v>
      </c>
      <c r="O5" s="71">
        <f>+O3*O1</f>
        <v>0</v>
      </c>
      <c r="P5" s="71">
        <f>+O5+N5</f>
        <v>-1683</v>
      </c>
    </row>
    <row r="6" spans="1:16" x14ac:dyDescent="0.3">
      <c r="A6" s="4" t="s">
        <v>16</v>
      </c>
      <c r="B6" s="23">
        <v>45839</v>
      </c>
      <c r="C6" s="38">
        <v>0</v>
      </c>
      <c r="D6" s="38">
        <v>0</v>
      </c>
      <c r="E6" s="38">
        <v>0</v>
      </c>
      <c r="F6" s="38">
        <v>0</v>
      </c>
      <c r="G6" s="44">
        <f t="shared" ref="G6:G11" si="0">(F6*24-E6*24)+(D6*24-C6*24)</f>
        <v>0</v>
      </c>
      <c r="H6" s="42">
        <f>+$H$3*24</f>
        <v>0.5</v>
      </c>
      <c r="I6" s="42">
        <f>+$I$3*24</f>
        <v>8</v>
      </c>
      <c r="J6" s="42">
        <f>G6-I6-H6</f>
        <v>-8.5</v>
      </c>
      <c r="K6" s="39"/>
      <c r="L6" s="24"/>
      <c r="M6" s="2"/>
    </row>
    <row r="7" spans="1:16" x14ac:dyDescent="0.3">
      <c r="A7" s="4" t="s">
        <v>17</v>
      </c>
      <c r="B7" s="23">
        <v>45840</v>
      </c>
      <c r="C7" s="38">
        <v>0</v>
      </c>
      <c r="D7" s="38">
        <v>0</v>
      </c>
      <c r="E7" s="38">
        <v>0</v>
      </c>
      <c r="F7" s="38">
        <v>0</v>
      </c>
      <c r="G7" s="44">
        <f t="shared" si="0"/>
        <v>0</v>
      </c>
      <c r="H7" s="42">
        <f>+$H$3*24</f>
        <v>0.5</v>
      </c>
      <c r="I7" s="42">
        <f>+$I$3*24</f>
        <v>8</v>
      </c>
      <c r="J7" s="42">
        <f>G7-I7-H7</f>
        <v>-8.5</v>
      </c>
      <c r="K7" s="39"/>
      <c r="L7" s="24"/>
      <c r="M7" s="2"/>
    </row>
    <row r="8" spans="1:16" x14ac:dyDescent="0.3">
      <c r="A8" s="4" t="s">
        <v>18</v>
      </c>
      <c r="B8" s="23">
        <v>45841</v>
      </c>
      <c r="C8" s="38">
        <v>0</v>
      </c>
      <c r="D8" s="38">
        <v>0</v>
      </c>
      <c r="E8" s="38">
        <v>0</v>
      </c>
      <c r="F8" s="38">
        <v>0</v>
      </c>
      <c r="G8" s="44">
        <f t="shared" si="0"/>
        <v>0</v>
      </c>
      <c r="H8" s="42">
        <f>+$H$3*24</f>
        <v>0.5</v>
      </c>
      <c r="I8" s="42">
        <f>+$I$3*24</f>
        <v>8</v>
      </c>
      <c r="J8" s="42">
        <f>G8-I8-H8</f>
        <v>-8.5</v>
      </c>
      <c r="K8" s="39"/>
      <c r="L8" s="24"/>
      <c r="M8" s="2"/>
    </row>
    <row r="9" spans="1:16" x14ac:dyDescent="0.3">
      <c r="A9" s="4" t="s">
        <v>12</v>
      </c>
      <c r="B9" s="23">
        <v>45842</v>
      </c>
      <c r="C9" s="38">
        <v>0</v>
      </c>
      <c r="D9" s="38">
        <v>0</v>
      </c>
      <c r="E9" s="38">
        <v>0</v>
      </c>
      <c r="F9" s="38">
        <v>0</v>
      </c>
      <c r="G9" s="44">
        <f t="shared" si="0"/>
        <v>0</v>
      </c>
      <c r="H9" s="42">
        <f>+$H$3*24</f>
        <v>0.5</v>
      </c>
      <c r="I9" s="42">
        <f>+$I$3*24</f>
        <v>8</v>
      </c>
      <c r="J9" s="42">
        <f>G9-I9-H9</f>
        <v>-8.5</v>
      </c>
      <c r="K9" s="39"/>
      <c r="L9" s="24"/>
      <c r="M9" s="2"/>
    </row>
    <row r="10" spans="1:16" s="41" customFormat="1" x14ac:dyDescent="0.3">
      <c r="A10" s="5" t="s">
        <v>13</v>
      </c>
      <c r="B10" s="25">
        <v>45843</v>
      </c>
      <c r="C10" s="37">
        <v>0</v>
      </c>
      <c r="D10" s="37">
        <v>0</v>
      </c>
      <c r="E10" s="37">
        <v>0</v>
      </c>
      <c r="F10" s="37">
        <v>0</v>
      </c>
      <c r="G10" s="43">
        <f t="shared" si="0"/>
        <v>0</v>
      </c>
      <c r="H10" s="43">
        <v>0</v>
      </c>
      <c r="I10" s="43">
        <v>0</v>
      </c>
      <c r="J10" s="18"/>
      <c r="K10" s="18">
        <f t="shared" ref="K10:K11" si="1">G10-I10+H10</f>
        <v>0</v>
      </c>
      <c r="L10" s="22"/>
      <c r="M10" s="40"/>
      <c r="N10" s="58"/>
      <c r="O10" s="58"/>
      <c r="P10" s="58"/>
    </row>
    <row r="11" spans="1:16" s="41" customFormat="1" x14ac:dyDescent="0.3">
      <c r="A11" s="5" t="s">
        <v>14</v>
      </c>
      <c r="B11" s="25">
        <v>45844</v>
      </c>
      <c r="C11" s="37">
        <v>0</v>
      </c>
      <c r="D11" s="37">
        <v>0</v>
      </c>
      <c r="E11" s="37">
        <v>0</v>
      </c>
      <c r="F11" s="37">
        <v>0</v>
      </c>
      <c r="G11" s="43">
        <f t="shared" si="0"/>
        <v>0</v>
      </c>
      <c r="H11" s="43">
        <v>0</v>
      </c>
      <c r="I11" s="43">
        <v>0</v>
      </c>
      <c r="J11" s="18"/>
      <c r="K11" s="18">
        <f t="shared" si="1"/>
        <v>0</v>
      </c>
      <c r="L11" s="22"/>
      <c r="M11" s="40"/>
      <c r="N11" s="58"/>
      <c r="O11" s="58"/>
      <c r="P11" s="58"/>
    </row>
    <row r="12" spans="1:16" x14ac:dyDescent="0.3">
      <c r="A12" s="4" t="s">
        <v>15</v>
      </c>
      <c r="B12" s="23">
        <v>45845</v>
      </c>
      <c r="C12" s="38">
        <v>0</v>
      </c>
      <c r="D12" s="38">
        <v>0</v>
      </c>
      <c r="E12" s="38">
        <v>0</v>
      </c>
      <c r="F12" s="38">
        <v>0</v>
      </c>
      <c r="G12" s="44">
        <f t="shared" ref="G12:G18" si="2">(F12*24-E12*24)+(D12*24-C12*24)</f>
        <v>0</v>
      </c>
      <c r="H12" s="42">
        <f>+$H$3*24</f>
        <v>0.5</v>
      </c>
      <c r="I12" s="42">
        <f>+$I$3*24</f>
        <v>8</v>
      </c>
      <c r="J12" s="42">
        <f>G12-I12-H12</f>
        <v>-8.5</v>
      </c>
      <c r="K12" s="39"/>
      <c r="L12" s="24"/>
      <c r="M12" s="2"/>
    </row>
    <row r="13" spans="1:16" x14ac:dyDescent="0.3">
      <c r="A13" s="4" t="s">
        <v>16</v>
      </c>
      <c r="B13" s="23">
        <v>45846</v>
      </c>
      <c r="C13" s="38">
        <v>0</v>
      </c>
      <c r="D13" s="38">
        <v>0</v>
      </c>
      <c r="E13" s="38">
        <v>0</v>
      </c>
      <c r="F13" s="38">
        <v>0</v>
      </c>
      <c r="G13" s="44">
        <f t="shared" si="2"/>
        <v>0</v>
      </c>
      <c r="H13" s="42">
        <f>+$H$3*24</f>
        <v>0.5</v>
      </c>
      <c r="I13" s="42">
        <f>+$I$3*24</f>
        <v>8</v>
      </c>
      <c r="J13" s="42">
        <f>G13-I13-H13</f>
        <v>-8.5</v>
      </c>
      <c r="K13" s="39"/>
      <c r="L13" s="24"/>
      <c r="M13" s="2"/>
      <c r="N13" s="15"/>
      <c r="O13" s="15"/>
      <c r="P13" s="15"/>
    </row>
    <row r="14" spans="1:16" x14ac:dyDescent="0.3">
      <c r="A14" s="4" t="s">
        <v>17</v>
      </c>
      <c r="B14" s="23">
        <v>45847</v>
      </c>
      <c r="C14" s="38">
        <v>0</v>
      </c>
      <c r="D14" s="38">
        <v>0</v>
      </c>
      <c r="E14" s="38">
        <v>0</v>
      </c>
      <c r="F14" s="38">
        <v>0</v>
      </c>
      <c r="G14" s="44">
        <f t="shared" si="2"/>
        <v>0</v>
      </c>
      <c r="H14" s="42">
        <f>+$H$3*24</f>
        <v>0.5</v>
      </c>
      <c r="I14" s="42">
        <f>+$I$3*24</f>
        <v>8</v>
      </c>
      <c r="J14" s="42">
        <f>G14-I14-H14</f>
        <v>-8.5</v>
      </c>
      <c r="K14" s="39"/>
      <c r="L14" s="24"/>
      <c r="M14" s="2"/>
      <c r="P14" s="16"/>
    </row>
    <row r="15" spans="1:16" x14ac:dyDescent="0.3">
      <c r="A15" s="4" t="s">
        <v>18</v>
      </c>
      <c r="B15" s="23">
        <v>45848</v>
      </c>
      <c r="C15" s="38">
        <v>0</v>
      </c>
      <c r="D15" s="38">
        <v>0</v>
      </c>
      <c r="E15" s="38">
        <v>0</v>
      </c>
      <c r="F15" s="38">
        <v>0</v>
      </c>
      <c r="G15" s="44">
        <f t="shared" si="2"/>
        <v>0</v>
      </c>
      <c r="H15" s="42">
        <f>+$H$3*24</f>
        <v>0.5</v>
      </c>
      <c r="I15" s="42">
        <f>+$I$3*24</f>
        <v>8</v>
      </c>
      <c r="J15" s="42">
        <f>G15-I15-H15</f>
        <v>-8.5</v>
      </c>
      <c r="K15" s="39"/>
      <c r="L15" s="24"/>
      <c r="M15" s="2"/>
    </row>
    <row r="16" spans="1:16" x14ac:dyDescent="0.3">
      <c r="A16" s="4" t="s">
        <v>12</v>
      </c>
      <c r="B16" s="23">
        <v>45849</v>
      </c>
      <c r="C16" s="38">
        <v>0</v>
      </c>
      <c r="D16" s="38">
        <v>0</v>
      </c>
      <c r="E16" s="38">
        <v>0</v>
      </c>
      <c r="F16" s="38">
        <v>0</v>
      </c>
      <c r="G16" s="44">
        <f t="shared" si="2"/>
        <v>0</v>
      </c>
      <c r="H16" s="42">
        <f>+$H$3*24</f>
        <v>0.5</v>
      </c>
      <c r="I16" s="42">
        <f>+$I$3*24</f>
        <v>8</v>
      </c>
      <c r="J16" s="42">
        <f>G16-I16-H16</f>
        <v>-8.5</v>
      </c>
      <c r="K16" s="39"/>
      <c r="L16" s="24"/>
      <c r="M16" s="2"/>
    </row>
    <row r="17" spans="1:16" s="41" customFormat="1" x14ac:dyDescent="0.3">
      <c r="A17" s="5" t="s">
        <v>13</v>
      </c>
      <c r="B17" s="25">
        <v>45850</v>
      </c>
      <c r="C17" s="37">
        <v>0</v>
      </c>
      <c r="D17" s="37">
        <v>0</v>
      </c>
      <c r="E17" s="37">
        <v>0</v>
      </c>
      <c r="F17" s="37">
        <v>0</v>
      </c>
      <c r="G17" s="43">
        <f t="shared" si="2"/>
        <v>0</v>
      </c>
      <c r="H17" s="43">
        <v>0</v>
      </c>
      <c r="I17" s="43">
        <v>0</v>
      </c>
      <c r="J17" s="18"/>
      <c r="K17" s="18">
        <f t="shared" ref="K17:K18" si="3">G17-I17+H17</f>
        <v>0</v>
      </c>
      <c r="L17" s="22"/>
      <c r="M17" s="40"/>
      <c r="N17" s="58"/>
      <c r="O17" s="58"/>
      <c r="P17" s="58"/>
    </row>
    <row r="18" spans="1:16" s="41" customFormat="1" x14ac:dyDescent="0.3">
      <c r="A18" s="5" t="s">
        <v>14</v>
      </c>
      <c r="B18" s="25">
        <v>45851</v>
      </c>
      <c r="C18" s="37">
        <v>0</v>
      </c>
      <c r="D18" s="37">
        <v>0</v>
      </c>
      <c r="E18" s="37">
        <v>0</v>
      </c>
      <c r="F18" s="37">
        <v>0</v>
      </c>
      <c r="G18" s="43">
        <f t="shared" si="2"/>
        <v>0</v>
      </c>
      <c r="H18" s="43">
        <v>0</v>
      </c>
      <c r="I18" s="43">
        <v>0</v>
      </c>
      <c r="J18" s="18"/>
      <c r="K18" s="18">
        <f t="shared" si="3"/>
        <v>0</v>
      </c>
      <c r="L18" s="22"/>
      <c r="M18" s="40"/>
      <c r="N18" s="58"/>
      <c r="O18" s="58"/>
      <c r="P18" s="58"/>
    </row>
    <row r="19" spans="1:16" x14ac:dyDescent="0.3">
      <c r="A19" s="4" t="s">
        <v>15</v>
      </c>
      <c r="B19" s="23">
        <v>45852</v>
      </c>
      <c r="C19" s="38">
        <v>0</v>
      </c>
      <c r="D19" s="38">
        <v>0</v>
      </c>
      <c r="E19" s="38">
        <v>0</v>
      </c>
      <c r="F19" s="38">
        <v>0</v>
      </c>
      <c r="G19" s="44">
        <f t="shared" ref="G19:G25" si="4">(F19*24-E19*24)+(D19*24-C19*24)</f>
        <v>0</v>
      </c>
      <c r="H19" s="42">
        <f>+$H$3*24</f>
        <v>0.5</v>
      </c>
      <c r="I19" s="42">
        <f>+$I$3*24</f>
        <v>8</v>
      </c>
      <c r="J19" s="42">
        <f>G19-I19-H19</f>
        <v>-8.5</v>
      </c>
      <c r="K19" s="39"/>
      <c r="L19" s="24"/>
      <c r="M19" s="2"/>
    </row>
    <row r="20" spans="1:16" x14ac:dyDescent="0.3">
      <c r="A20" s="4" t="s">
        <v>16</v>
      </c>
      <c r="B20" s="23">
        <v>45853</v>
      </c>
      <c r="C20" s="38">
        <v>0</v>
      </c>
      <c r="D20" s="38">
        <v>0</v>
      </c>
      <c r="E20" s="38">
        <v>0</v>
      </c>
      <c r="F20" s="38">
        <v>0</v>
      </c>
      <c r="G20" s="44">
        <f t="shared" si="4"/>
        <v>0</v>
      </c>
      <c r="H20" s="42">
        <f>+$H$3*24</f>
        <v>0.5</v>
      </c>
      <c r="I20" s="42">
        <f>+$I$3*24</f>
        <v>8</v>
      </c>
      <c r="J20" s="42">
        <f>G20-I20-H20</f>
        <v>-8.5</v>
      </c>
      <c r="K20" s="39"/>
      <c r="L20" s="24"/>
      <c r="M20" s="2"/>
    </row>
    <row r="21" spans="1:16" x14ac:dyDescent="0.3">
      <c r="A21" s="4" t="s">
        <v>17</v>
      </c>
      <c r="B21" s="23">
        <v>45854</v>
      </c>
      <c r="C21" s="38">
        <v>0</v>
      </c>
      <c r="D21" s="38">
        <v>0</v>
      </c>
      <c r="E21" s="38">
        <v>0</v>
      </c>
      <c r="F21" s="38">
        <v>0</v>
      </c>
      <c r="G21" s="44">
        <f t="shared" si="4"/>
        <v>0</v>
      </c>
      <c r="H21" s="42">
        <f>+$H$3*24</f>
        <v>0.5</v>
      </c>
      <c r="I21" s="42">
        <f>+$I$3*24</f>
        <v>8</v>
      </c>
      <c r="J21" s="42">
        <f>G21-I21-H21</f>
        <v>-8.5</v>
      </c>
      <c r="K21" s="39"/>
      <c r="L21" s="24"/>
      <c r="M21" s="2"/>
    </row>
    <row r="22" spans="1:16" x14ac:dyDescent="0.3">
      <c r="A22" s="4" t="s">
        <v>18</v>
      </c>
      <c r="B22" s="23">
        <v>45855</v>
      </c>
      <c r="C22" s="38">
        <v>0</v>
      </c>
      <c r="D22" s="38">
        <v>0</v>
      </c>
      <c r="E22" s="38">
        <v>0</v>
      </c>
      <c r="F22" s="38">
        <v>0</v>
      </c>
      <c r="G22" s="44">
        <f t="shared" si="4"/>
        <v>0</v>
      </c>
      <c r="H22" s="42">
        <f>+$H$3*24</f>
        <v>0.5</v>
      </c>
      <c r="I22" s="42">
        <f>+$I$3*24</f>
        <v>8</v>
      </c>
      <c r="J22" s="42">
        <f>G22-I22-H22</f>
        <v>-8.5</v>
      </c>
      <c r="K22" s="39"/>
      <c r="L22" s="24"/>
      <c r="M22" s="2"/>
    </row>
    <row r="23" spans="1:16" x14ac:dyDescent="0.3">
      <c r="A23" s="4" t="s">
        <v>12</v>
      </c>
      <c r="B23" s="23">
        <v>45856</v>
      </c>
      <c r="C23" s="38">
        <v>0</v>
      </c>
      <c r="D23" s="38">
        <v>0</v>
      </c>
      <c r="E23" s="38">
        <v>0</v>
      </c>
      <c r="F23" s="38">
        <v>0</v>
      </c>
      <c r="G23" s="44">
        <f t="shared" si="4"/>
        <v>0</v>
      </c>
      <c r="H23" s="42">
        <f>+$H$3*24</f>
        <v>0.5</v>
      </c>
      <c r="I23" s="42">
        <f>+$I$3*24</f>
        <v>8</v>
      </c>
      <c r="J23" s="42">
        <f>G23-I23-H23</f>
        <v>-8.5</v>
      </c>
      <c r="K23" s="39"/>
      <c r="L23" s="24"/>
      <c r="M23" s="2"/>
    </row>
    <row r="24" spans="1:16" s="41" customFormat="1" x14ac:dyDescent="0.3">
      <c r="A24" s="5" t="s">
        <v>13</v>
      </c>
      <c r="B24" s="25">
        <v>45857</v>
      </c>
      <c r="C24" s="37">
        <v>0</v>
      </c>
      <c r="D24" s="37">
        <v>0</v>
      </c>
      <c r="E24" s="37">
        <v>0</v>
      </c>
      <c r="F24" s="37">
        <v>0</v>
      </c>
      <c r="G24" s="43">
        <f t="shared" si="4"/>
        <v>0</v>
      </c>
      <c r="H24" s="43">
        <v>0</v>
      </c>
      <c r="I24" s="43">
        <v>0</v>
      </c>
      <c r="J24" s="18"/>
      <c r="K24" s="18">
        <f t="shared" ref="K24:K25" si="5">G24-I24+H24</f>
        <v>0</v>
      </c>
      <c r="L24" s="22"/>
      <c r="M24" s="40"/>
      <c r="N24" s="58"/>
      <c r="O24" s="58"/>
      <c r="P24" s="58"/>
    </row>
    <row r="25" spans="1:16" s="41" customFormat="1" x14ac:dyDescent="0.3">
      <c r="A25" s="5" t="s">
        <v>14</v>
      </c>
      <c r="B25" s="25">
        <v>45858</v>
      </c>
      <c r="C25" s="37">
        <v>0</v>
      </c>
      <c r="D25" s="37">
        <v>0</v>
      </c>
      <c r="E25" s="37">
        <v>0</v>
      </c>
      <c r="F25" s="37">
        <v>0</v>
      </c>
      <c r="G25" s="43">
        <f t="shared" si="4"/>
        <v>0</v>
      </c>
      <c r="H25" s="43">
        <v>0</v>
      </c>
      <c r="I25" s="43">
        <v>0</v>
      </c>
      <c r="J25" s="18"/>
      <c r="K25" s="18">
        <f t="shared" si="5"/>
        <v>0</v>
      </c>
      <c r="L25" s="22"/>
      <c r="M25" s="40"/>
      <c r="N25" s="58"/>
      <c r="O25" s="58"/>
      <c r="P25" s="58"/>
    </row>
    <row r="26" spans="1:16" x14ac:dyDescent="0.3">
      <c r="A26" s="4" t="s">
        <v>15</v>
      </c>
      <c r="B26" s="23">
        <v>45859</v>
      </c>
      <c r="C26" s="38">
        <v>0</v>
      </c>
      <c r="D26" s="38">
        <v>0</v>
      </c>
      <c r="E26" s="38">
        <v>0</v>
      </c>
      <c r="F26" s="38">
        <v>0</v>
      </c>
      <c r="G26" s="44">
        <f t="shared" ref="G26:G32" si="6">(F26*24-E26*24)+(D26*24-C26*24)</f>
        <v>0</v>
      </c>
      <c r="H26" s="42">
        <f>+$H$3*24</f>
        <v>0.5</v>
      </c>
      <c r="I26" s="42">
        <f>+$I$3*24</f>
        <v>8</v>
      </c>
      <c r="J26" s="42">
        <f>G26-I26-H26</f>
        <v>-8.5</v>
      </c>
      <c r="K26" s="39"/>
      <c r="L26" s="24"/>
      <c r="M26" s="2"/>
    </row>
    <row r="27" spans="1:16" x14ac:dyDescent="0.3">
      <c r="A27" s="4" t="s">
        <v>16</v>
      </c>
      <c r="B27" s="23">
        <v>45860</v>
      </c>
      <c r="C27" s="38">
        <v>0</v>
      </c>
      <c r="D27" s="38">
        <v>0</v>
      </c>
      <c r="E27" s="38">
        <v>0</v>
      </c>
      <c r="F27" s="38">
        <v>0</v>
      </c>
      <c r="G27" s="44">
        <f t="shared" si="6"/>
        <v>0</v>
      </c>
      <c r="H27" s="42">
        <f>+$H$3*24</f>
        <v>0.5</v>
      </c>
      <c r="I27" s="42">
        <f>+$I$3*24</f>
        <v>8</v>
      </c>
      <c r="J27" s="42">
        <f>G27-I27-H27</f>
        <v>-8.5</v>
      </c>
      <c r="K27" s="39"/>
      <c r="L27" s="24"/>
      <c r="M27" s="2"/>
    </row>
    <row r="28" spans="1:16" x14ac:dyDescent="0.3">
      <c r="A28" s="4" t="s">
        <v>17</v>
      </c>
      <c r="B28" s="23">
        <v>45861</v>
      </c>
      <c r="C28" s="38">
        <v>0</v>
      </c>
      <c r="D28" s="38">
        <v>0</v>
      </c>
      <c r="E28" s="38">
        <v>0</v>
      </c>
      <c r="F28" s="38">
        <v>0</v>
      </c>
      <c r="G28" s="44">
        <f t="shared" si="6"/>
        <v>0</v>
      </c>
      <c r="H28" s="42">
        <f>+$H$3*24</f>
        <v>0.5</v>
      </c>
      <c r="I28" s="42">
        <f>+$I$3*24</f>
        <v>8</v>
      </c>
      <c r="J28" s="42">
        <f>G28-I28-H28</f>
        <v>-8.5</v>
      </c>
      <c r="K28" s="39"/>
      <c r="L28" s="24"/>
      <c r="M28" s="2"/>
    </row>
    <row r="29" spans="1:16" x14ac:dyDescent="0.3">
      <c r="A29" s="4" t="s">
        <v>18</v>
      </c>
      <c r="B29" s="23">
        <v>45862</v>
      </c>
      <c r="C29" s="38">
        <v>0</v>
      </c>
      <c r="D29" s="38">
        <v>0</v>
      </c>
      <c r="E29" s="38">
        <v>0</v>
      </c>
      <c r="F29" s="38">
        <v>0</v>
      </c>
      <c r="G29" s="44">
        <f t="shared" si="6"/>
        <v>0</v>
      </c>
      <c r="H29" s="42">
        <f>+$H$3*24</f>
        <v>0.5</v>
      </c>
      <c r="I29" s="42">
        <f>+$I$3*24</f>
        <v>8</v>
      </c>
      <c r="J29" s="42">
        <f>G29-I29-H29</f>
        <v>-8.5</v>
      </c>
      <c r="K29" s="39"/>
      <c r="L29" s="24"/>
      <c r="M29" s="2"/>
    </row>
    <row r="30" spans="1:16" x14ac:dyDescent="0.3">
      <c r="A30" s="4" t="s">
        <v>12</v>
      </c>
      <c r="B30" s="23">
        <v>45863</v>
      </c>
      <c r="C30" s="38">
        <v>0</v>
      </c>
      <c r="D30" s="38">
        <v>0</v>
      </c>
      <c r="E30" s="38">
        <v>0</v>
      </c>
      <c r="F30" s="38">
        <v>0</v>
      </c>
      <c r="G30" s="44">
        <f t="shared" si="6"/>
        <v>0</v>
      </c>
      <c r="H30" s="42">
        <f>+$H$3*24</f>
        <v>0.5</v>
      </c>
      <c r="I30" s="42">
        <f>+$I$3*24</f>
        <v>8</v>
      </c>
      <c r="J30" s="42">
        <f>G30-I30-H30</f>
        <v>-8.5</v>
      </c>
      <c r="K30" s="39"/>
      <c r="L30" s="24"/>
      <c r="M30" s="2"/>
    </row>
    <row r="31" spans="1:16" s="41" customFormat="1" x14ac:dyDescent="0.3">
      <c r="A31" s="5" t="s">
        <v>13</v>
      </c>
      <c r="B31" s="25">
        <v>45864</v>
      </c>
      <c r="C31" s="37">
        <v>0</v>
      </c>
      <c r="D31" s="37">
        <v>0</v>
      </c>
      <c r="E31" s="37">
        <v>0</v>
      </c>
      <c r="F31" s="37">
        <v>0</v>
      </c>
      <c r="G31" s="43">
        <f t="shared" si="6"/>
        <v>0</v>
      </c>
      <c r="H31" s="43">
        <v>0</v>
      </c>
      <c r="I31" s="43">
        <v>0</v>
      </c>
      <c r="J31" s="18"/>
      <c r="K31" s="18">
        <f t="shared" ref="K31:K32" si="7">G31-I31+H31</f>
        <v>0</v>
      </c>
      <c r="L31" s="22"/>
      <c r="M31" s="40"/>
      <c r="N31" s="58"/>
      <c r="O31" s="58"/>
      <c r="P31" s="58"/>
    </row>
    <row r="32" spans="1:16" s="41" customFormat="1" x14ac:dyDescent="0.3">
      <c r="A32" s="5" t="s">
        <v>14</v>
      </c>
      <c r="B32" s="25">
        <v>45865</v>
      </c>
      <c r="C32" s="37">
        <v>0</v>
      </c>
      <c r="D32" s="37">
        <v>0</v>
      </c>
      <c r="E32" s="37">
        <v>0</v>
      </c>
      <c r="F32" s="37">
        <v>0</v>
      </c>
      <c r="G32" s="43">
        <f t="shared" si="6"/>
        <v>0</v>
      </c>
      <c r="H32" s="43">
        <v>0</v>
      </c>
      <c r="I32" s="43">
        <v>0</v>
      </c>
      <c r="J32" s="18"/>
      <c r="K32" s="18">
        <f t="shared" si="7"/>
        <v>0</v>
      </c>
      <c r="L32" s="22"/>
      <c r="M32" s="40"/>
      <c r="N32" s="58"/>
      <c r="O32" s="58"/>
      <c r="P32" s="58"/>
    </row>
    <row r="33" spans="1:13" x14ac:dyDescent="0.3">
      <c r="A33" s="4" t="s">
        <v>15</v>
      </c>
      <c r="B33" s="23">
        <v>45866</v>
      </c>
      <c r="C33" s="38">
        <v>0</v>
      </c>
      <c r="D33" s="38">
        <v>0</v>
      </c>
      <c r="E33" s="38">
        <v>0</v>
      </c>
      <c r="F33" s="38">
        <v>0</v>
      </c>
      <c r="G33" s="44">
        <f t="shared" ref="G33:G36" si="8">(F33*24-E33*24)+(D33*24-C33*24)</f>
        <v>0</v>
      </c>
      <c r="H33" s="42">
        <f>+$H$3*24</f>
        <v>0.5</v>
      </c>
      <c r="I33" s="42">
        <f>+$I$3*24</f>
        <v>8</v>
      </c>
      <c r="J33" s="42">
        <f>G33-I33-H33</f>
        <v>-8.5</v>
      </c>
      <c r="K33" s="39"/>
      <c r="L33" s="24"/>
      <c r="M33" s="2"/>
    </row>
    <row r="34" spans="1:13" x14ac:dyDescent="0.3">
      <c r="A34" s="4" t="s">
        <v>16</v>
      </c>
      <c r="B34" s="23">
        <v>45867</v>
      </c>
      <c r="C34" s="38">
        <v>0</v>
      </c>
      <c r="D34" s="38">
        <v>0</v>
      </c>
      <c r="E34" s="38">
        <v>0</v>
      </c>
      <c r="F34" s="38">
        <v>0</v>
      </c>
      <c r="G34" s="44">
        <f t="shared" si="8"/>
        <v>0</v>
      </c>
      <c r="H34" s="42">
        <f>+$H$3*24</f>
        <v>0.5</v>
      </c>
      <c r="I34" s="42">
        <f>+$I$3*24</f>
        <v>8</v>
      </c>
      <c r="J34" s="42">
        <f>G34-I34-H34</f>
        <v>-8.5</v>
      </c>
      <c r="K34" s="39"/>
      <c r="L34" s="24"/>
      <c r="M34" s="2"/>
    </row>
    <row r="35" spans="1:13" x14ac:dyDescent="0.3">
      <c r="A35" s="4" t="s">
        <v>17</v>
      </c>
      <c r="B35" s="23">
        <v>45868</v>
      </c>
      <c r="C35" s="38">
        <v>0</v>
      </c>
      <c r="D35" s="38">
        <v>0</v>
      </c>
      <c r="E35" s="38">
        <v>0</v>
      </c>
      <c r="F35" s="38">
        <v>0</v>
      </c>
      <c r="G35" s="44">
        <f t="shared" si="8"/>
        <v>0</v>
      </c>
      <c r="H35" s="42">
        <f>+$H$3*24</f>
        <v>0.5</v>
      </c>
      <c r="I35" s="42">
        <f>+$I$3*24</f>
        <v>8</v>
      </c>
      <c r="J35" s="42">
        <f>G35-I35-H35</f>
        <v>-8.5</v>
      </c>
      <c r="K35" s="39"/>
      <c r="L35" s="24"/>
      <c r="M35" s="2"/>
    </row>
    <row r="36" spans="1:13" ht="17.25" thickBot="1" x14ac:dyDescent="0.35">
      <c r="A36" s="4" t="s">
        <v>18</v>
      </c>
      <c r="B36" s="27">
        <v>45869</v>
      </c>
      <c r="C36" s="47">
        <v>0</v>
      </c>
      <c r="D36" s="47">
        <v>0</v>
      </c>
      <c r="E36" s="47">
        <v>0</v>
      </c>
      <c r="F36" s="47">
        <v>0</v>
      </c>
      <c r="G36" s="48">
        <f t="shared" si="8"/>
        <v>0</v>
      </c>
      <c r="H36" s="49">
        <f>+$H$3*24</f>
        <v>0.5</v>
      </c>
      <c r="I36" s="49">
        <f>+$I$3*24</f>
        <v>8</v>
      </c>
      <c r="J36" s="49">
        <f>G36-I36-H36</f>
        <v>-8.5</v>
      </c>
      <c r="K36" s="50"/>
      <c r="L36" s="28"/>
      <c r="M36" s="2"/>
    </row>
    <row r="37" spans="1:13" x14ac:dyDescent="0.3">
      <c r="A37" s="13"/>
      <c r="B37" s="12"/>
      <c r="C37" s="2"/>
      <c r="D37" s="2"/>
      <c r="E37" s="2"/>
      <c r="F37" s="8"/>
      <c r="G37" s="9">
        <f>SUM(G7:G36)</f>
        <v>0</v>
      </c>
      <c r="H37" s="10">
        <f>SUM(H7:H36)</f>
        <v>11</v>
      </c>
      <c r="I37" s="11">
        <f>SUM(I7:I36)</f>
        <v>176</v>
      </c>
      <c r="J37" s="9">
        <f>SUM(J7:J36)</f>
        <v>-187</v>
      </c>
      <c r="K37" s="9">
        <f>SUM(K7:K36)</f>
        <v>0</v>
      </c>
      <c r="L37" s="2"/>
      <c r="M37" s="2"/>
    </row>
    <row r="38" spans="1:13" x14ac:dyDescent="0.3">
      <c r="A38" s="14"/>
      <c r="B38" s="12"/>
    </row>
    <row r="39" spans="1:13" x14ac:dyDescent="0.3">
      <c r="B39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AB9F-9012-472D-9A3C-5BE16E087787}">
  <sheetPr>
    <pageSetUpPr fitToPage="1"/>
  </sheetPr>
  <dimension ref="A1:P39"/>
  <sheetViews>
    <sheetView workbookViewId="0">
      <selection activeCell="Q10" sqref="Q10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4" width="11.42578125" style="1"/>
    <col min="15" max="15" width="10.5703125" style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26</v>
      </c>
      <c r="G3" s="2"/>
      <c r="H3" s="52">
        <v>2.0833333333333332E-2</v>
      </c>
      <c r="I3" s="53">
        <v>0.33333333333333331</v>
      </c>
      <c r="J3" s="2"/>
      <c r="K3" s="2"/>
      <c r="N3" s="59">
        <f>J37</f>
        <v>-170</v>
      </c>
      <c r="O3" s="59">
        <f>K37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-1530</v>
      </c>
      <c r="O5" s="71">
        <f>+O3*O1</f>
        <v>0</v>
      </c>
      <c r="P5" s="71">
        <f>+O5+N5</f>
        <v>-1530</v>
      </c>
    </row>
    <row r="6" spans="1:16" x14ac:dyDescent="0.3">
      <c r="A6" s="4" t="s">
        <v>12</v>
      </c>
      <c r="B6" s="23">
        <v>45870</v>
      </c>
      <c r="C6" s="38">
        <v>0</v>
      </c>
      <c r="D6" s="38">
        <v>0</v>
      </c>
      <c r="E6" s="38">
        <v>0</v>
      </c>
      <c r="F6" s="38">
        <v>0</v>
      </c>
      <c r="G6" s="44">
        <f t="shared" ref="G6:G8" si="0">(F6*24-E6*24)+(D6*24-C6*24)</f>
        <v>0</v>
      </c>
      <c r="H6" s="42">
        <f>+$H$3*24</f>
        <v>0.5</v>
      </c>
      <c r="I6" s="42">
        <f>+$I$3*24</f>
        <v>8</v>
      </c>
      <c r="J6" s="42">
        <f>G6-I6-H6</f>
        <v>-8.5</v>
      </c>
      <c r="K6" s="39"/>
      <c r="L6" s="24"/>
      <c r="M6" s="2"/>
    </row>
    <row r="7" spans="1:16" s="41" customFormat="1" x14ac:dyDescent="0.3">
      <c r="A7" s="5" t="s">
        <v>13</v>
      </c>
      <c r="B7" s="25">
        <v>45871</v>
      </c>
      <c r="C7" s="37">
        <v>0</v>
      </c>
      <c r="D7" s="37">
        <v>0</v>
      </c>
      <c r="E7" s="37">
        <v>0</v>
      </c>
      <c r="F7" s="37">
        <v>0</v>
      </c>
      <c r="G7" s="43">
        <f t="shared" si="0"/>
        <v>0</v>
      </c>
      <c r="H7" s="43">
        <v>0</v>
      </c>
      <c r="I7" s="43">
        <v>0</v>
      </c>
      <c r="J7" s="18"/>
      <c r="K7" s="18">
        <f t="shared" ref="K7:K8" si="1">G7-I7+H7</f>
        <v>0</v>
      </c>
      <c r="L7" s="22"/>
      <c r="M7" s="40"/>
      <c r="N7" s="58"/>
      <c r="O7" s="58"/>
      <c r="P7" s="58"/>
    </row>
    <row r="8" spans="1:16" s="41" customFormat="1" x14ac:dyDescent="0.3">
      <c r="A8" s="5" t="s">
        <v>14</v>
      </c>
      <c r="B8" s="25">
        <v>45872</v>
      </c>
      <c r="C8" s="37">
        <v>0</v>
      </c>
      <c r="D8" s="37">
        <v>0</v>
      </c>
      <c r="E8" s="37">
        <v>0</v>
      </c>
      <c r="F8" s="37">
        <v>0</v>
      </c>
      <c r="G8" s="43">
        <f t="shared" si="0"/>
        <v>0</v>
      </c>
      <c r="H8" s="43">
        <v>0</v>
      </c>
      <c r="I8" s="43">
        <v>0</v>
      </c>
      <c r="J8" s="18"/>
      <c r="K8" s="18">
        <f t="shared" si="1"/>
        <v>0</v>
      </c>
      <c r="L8" s="22"/>
      <c r="M8" s="40"/>
      <c r="N8" s="58"/>
      <c r="O8" s="58"/>
      <c r="P8" s="58"/>
    </row>
    <row r="9" spans="1:16" x14ac:dyDescent="0.3">
      <c r="A9" s="4" t="s">
        <v>15</v>
      </c>
      <c r="B9" s="23">
        <v>45873</v>
      </c>
      <c r="C9" s="38">
        <v>0</v>
      </c>
      <c r="D9" s="38">
        <v>0</v>
      </c>
      <c r="E9" s="38">
        <v>0</v>
      </c>
      <c r="F9" s="38">
        <v>0</v>
      </c>
      <c r="G9" s="44">
        <f t="shared" ref="G9:G15" si="2">(F9*24-E9*24)+(D9*24-C9*24)</f>
        <v>0</v>
      </c>
      <c r="H9" s="42">
        <f>+$H$3*24</f>
        <v>0.5</v>
      </c>
      <c r="I9" s="42">
        <f>+$I$3*24</f>
        <v>8</v>
      </c>
      <c r="J9" s="42">
        <f>G9-I9-H9</f>
        <v>-8.5</v>
      </c>
      <c r="K9" s="39"/>
      <c r="L9" s="24"/>
      <c r="M9" s="2"/>
      <c r="N9" s="15"/>
      <c r="O9" s="15"/>
      <c r="P9" s="15"/>
    </row>
    <row r="10" spans="1:16" x14ac:dyDescent="0.3">
      <c r="A10" s="4" t="s">
        <v>16</v>
      </c>
      <c r="B10" s="23">
        <v>45874</v>
      </c>
      <c r="C10" s="38">
        <v>0</v>
      </c>
      <c r="D10" s="38">
        <v>0</v>
      </c>
      <c r="E10" s="38">
        <v>0</v>
      </c>
      <c r="F10" s="38">
        <v>0</v>
      </c>
      <c r="G10" s="44">
        <f t="shared" si="2"/>
        <v>0</v>
      </c>
      <c r="H10" s="42">
        <f>+$H$3*24</f>
        <v>0.5</v>
      </c>
      <c r="I10" s="42">
        <f>+$I$3*24</f>
        <v>8</v>
      </c>
      <c r="J10" s="42">
        <f>G10-I10-H10</f>
        <v>-8.5</v>
      </c>
      <c r="K10" s="39"/>
      <c r="L10" s="24"/>
      <c r="M10" s="2"/>
      <c r="N10" s="15"/>
      <c r="O10" s="15"/>
      <c r="P10" s="15"/>
    </row>
    <row r="11" spans="1:16" x14ac:dyDescent="0.3">
      <c r="A11" s="4" t="s">
        <v>17</v>
      </c>
      <c r="B11" s="23">
        <v>45875</v>
      </c>
      <c r="C11" s="38">
        <v>0</v>
      </c>
      <c r="D11" s="38">
        <v>0</v>
      </c>
      <c r="E11" s="38">
        <v>0</v>
      </c>
      <c r="F11" s="38">
        <v>0</v>
      </c>
      <c r="G11" s="44">
        <f t="shared" si="2"/>
        <v>0</v>
      </c>
      <c r="H11" s="42">
        <f>+$H$3*24</f>
        <v>0.5</v>
      </c>
      <c r="I11" s="42">
        <f>+$I$3*24</f>
        <v>8</v>
      </c>
      <c r="J11" s="42">
        <f>G11-I11-H11</f>
        <v>-8.5</v>
      </c>
      <c r="K11" s="39"/>
      <c r="L11" s="24"/>
      <c r="M11" s="2"/>
      <c r="P11" s="16"/>
    </row>
    <row r="12" spans="1:16" x14ac:dyDescent="0.3">
      <c r="A12" s="4" t="s">
        <v>18</v>
      </c>
      <c r="B12" s="23">
        <v>45876</v>
      </c>
      <c r="C12" s="38">
        <v>0</v>
      </c>
      <c r="D12" s="38">
        <v>0</v>
      </c>
      <c r="E12" s="38">
        <v>0</v>
      </c>
      <c r="F12" s="38">
        <v>0</v>
      </c>
      <c r="G12" s="44">
        <f t="shared" si="2"/>
        <v>0</v>
      </c>
      <c r="H12" s="42">
        <f>+$H$3*24</f>
        <v>0.5</v>
      </c>
      <c r="I12" s="42">
        <f>+$I$3*24</f>
        <v>8</v>
      </c>
      <c r="J12" s="42">
        <f>G12-I12-H12</f>
        <v>-8.5</v>
      </c>
      <c r="K12" s="39"/>
      <c r="L12" s="24"/>
      <c r="M12" s="2"/>
    </row>
    <row r="13" spans="1:16" x14ac:dyDescent="0.3">
      <c r="A13" s="4" t="s">
        <v>12</v>
      </c>
      <c r="B13" s="23">
        <v>45877</v>
      </c>
      <c r="C13" s="38">
        <v>0</v>
      </c>
      <c r="D13" s="38">
        <v>0</v>
      </c>
      <c r="E13" s="38">
        <v>0</v>
      </c>
      <c r="F13" s="38">
        <v>0</v>
      </c>
      <c r="G13" s="44">
        <f t="shared" si="2"/>
        <v>0</v>
      </c>
      <c r="H13" s="42">
        <f>+$H$3*24</f>
        <v>0.5</v>
      </c>
      <c r="I13" s="42">
        <f>+$I$3*24</f>
        <v>8</v>
      </c>
      <c r="J13" s="42">
        <f>G13-I13-H13</f>
        <v>-8.5</v>
      </c>
      <c r="K13" s="39"/>
      <c r="L13" s="24"/>
      <c r="M13" s="2"/>
    </row>
    <row r="14" spans="1:16" s="41" customFormat="1" x14ac:dyDescent="0.3">
      <c r="A14" s="5" t="s">
        <v>13</v>
      </c>
      <c r="B14" s="25">
        <v>45878</v>
      </c>
      <c r="C14" s="37">
        <v>0</v>
      </c>
      <c r="D14" s="37">
        <v>0</v>
      </c>
      <c r="E14" s="37">
        <v>0</v>
      </c>
      <c r="F14" s="37">
        <v>0</v>
      </c>
      <c r="G14" s="43">
        <f t="shared" si="2"/>
        <v>0</v>
      </c>
      <c r="H14" s="43">
        <v>0</v>
      </c>
      <c r="I14" s="43">
        <v>0</v>
      </c>
      <c r="J14" s="18"/>
      <c r="K14" s="18">
        <f t="shared" ref="K14:K15" si="3">G14-I14+H14</f>
        <v>0</v>
      </c>
      <c r="L14" s="22"/>
      <c r="M14" s="40"/>
      <c r="N14" s="58"/>
      <c r="O14" s="58"/>
      <c r="P14" s="58"/>
    </row>
    <row r="15" spans="1:16" s="41" customFormat="1" x14ac:dyDescent="0.3">
      <c r="A15" s="5" t="s">
        <v>14</v>
      </c>
      <c r="B15" s="25">
        <v>45879</v>
      </c>
      <c r="C15" s="37">
        <v>0</v>
      </c>
      <c r="D15" s="37">
        <v>0</v>
      </c>
      <c r="E15" s="37">
        <v>0</v>
      </c>
      <c r="F15" s="37">
        <v>0</v>
      </c>
      <c r="G15" s="43">
        <f t="shared" si="2"/>
        <v>0</v>
      </c>
      <c r="H15" s="43">
        <v>0</v>
      </c>
      <c r="I15" s="43">
        <v>0</v>
      </c>
      <c r="J15" s="18"/>
      <c r="K15" s="18">
        <f t="shared" si="3"/>
        <v>0</v>
      </c>
      <c r="L15" s="22"/>
      <c r="M15" s="40"/>
      <c r="N15" s="58"/>
      <c r="O15" s="58"/>
      <c r="P15" s="58"/>
    </row>
    <row r="16" spans="1:16" x14ac:dyDescent="0.3">
      <c r="A16" s="4" t="s">
        <v>15</v>
      </c>
      <c r="B16" s="23">
        <v>45880</v>
      </c>
      <c r="C16" s="38">
        <v>0</v>
      </c>
      <c r="D16" s="38">
        <v>0</v>
      </c>
      <c r="E16" s="38">
        <v>0</v>
      </c>
      <c r="F16" s="38">
        <v>0</v>
      </c>
      <c r="G16" s="44">
        <f t="shared" ref="G16:G22" si="4">(F16*24-E16*24)+(D16*24-C16*24)</f>
        <v>0</v>
      </c>
      <c r="H16" s="42">
        <f>+$H$3*24</f>
        <v>0.5</v>
      </c>
      <c r="I16" s="42">
        <f>+$I$3*24</f>
        <v>8</v>
      </c>
      <c r="J16" s="42">
        <f>G16-I16-H16</f>
        <v>-8.5</v>
      </c>
      <c r="K16" s="39"/>
      <c r="L16" s="24"/>
      <c r="M16" s="2"/>
    </row>
    <row r="17" spans="1:16" x14ac:dyDescent="0.3">
      <c r="A17" s="4" t="s">
        <v>16</v>
      </c>
      <c r="B17" s="23">
        <v>45881</v>
      </c>
      <c r="C17" s="38">
        <v>0</v>
      </c>
      <c r="D17" s="38">
        <v>0</v>
      </c>
      <c r="E17" s="38">
        <v>0</v>
      </c>
      <c r="F17" s="38">
        <v>0</v>
      </c>
      <c r="G17" s="44">
        <f t="shared" si="4"/>
        <v>0</v>
      </c>
      <c r="H17" s="42">
        <f>+$H$3*24</f>
        <v>0.5</v>
      </c>
      <c r="I17" s="42">
        <f>+$I$3*24</f>
        <v>8</v>
      </c>
      <c r="J17" s="42">
        <f>G17-I17-H17</f>
        <v>-8.5</v>
      </c>
      <c r="K17" s="39"/>
      <c r="L17" s="24"/>
      <c r="M17" s="2"/>
    </row>
    <row r="18" spans="1:16" x14ac:dyDescent="0.3">
      <c r="A18" s="4" t="s">
        <v>17</v>
      </c>
      <c r="B18" s="23">
        <v>45882</v>
      </c>
      <c r="C18" s="38">
        <v>0</v>
      </c>
      <c r="D18" s="38">
        <v>0</v>
      </c>
      <c r="E18" s="38">
        <v>0</v>
      </c>
      <c r="F18" s="38">
        <v>0</v>
      </c>
      <c r="G18" s="44">
        <f t="shared" si="4"/>
        <v>0</v>
      </c>
      <c r="H18" s="42">
        <f>+$H$3*24</f>
        <v>0.5</v>
      </c>
      <c r="I18" s="42">
        <f>+$I$3*24</f>
        <v>8</v>
      </c>
      <c r="J18" s="42">
        <f>G18-I18-H18</f>
        <v>-8.5</v>
      </c>
      <c r="K18" s="39"/>
      <c r="L18" s="24"/>
      <c r="M18" s="2"/>
    </row>
    <row r="19" spans="1:16" x14ac:dyDescent="0.3">
      <c r="A19" s="4" t="s">
        <v>18</v>
      </c>
      <c r="B19" s="23">
        <v>45883</v>
      </c>
      <c r="C19" s="38">
        <v>0</v>
      </c>
      <c r="D19" s="38">
        <v>0</v>
      </c>
      <c r="E19" s="38">
        <v>0</v>
      </c>
      <c r="F19" s="38">
        <v>0</v>
      </c>
      <c r="G19" s="44">
        <f t="shared" si="4"/>
        <v>0</v>
      </c>
      <c r="H19" s="42">
        <f>+$H$3*24</f>
        <v>0.5</v>
      </c>
      <c r="I19" s="42">
        <f>+$I$3*24</f>
        <v>8</v>
      </c>
      <c r="J19" s="42">
        <f>G19-I19-H19</f>
        <v>-8.5</v>
      </c>
      <c r="K19" s="39"/>
      <c r="L19" s="24"/>
      <c r="M19" s="2"/>
    </row>
    <row r="20" spans="1:16" s="41" customFormat="1" x14ac:dyDescent="0.3">
      <c r="A20" s="5" t="s">
        <v>12</v>
      </c>
      <c r="B20" s="25">
        <v>45884</v>
      </c>
      <c r="C20" s="37">
        <v>0</v>
      </c>
      <c r="D20" s="37">
        <v>0</v>
      </c>
      <c r="E20" s="37">
        <v>0</v>
      </c>
      <c r="F20" s="37">
        <v>0</v>
      </c>
      <c r="G20" s="43">
        <f t="shared" si="4"/>
        <v>0</v>
      </c>
      <c r="H20" s="43">
        <v>0</v>
      </c>
      <c r="I20" s="43">
        <v>0</v>
      </c>
      <c r="J20" s="18"/>
      <c r="K20" s="18">
        <f t="shared" ref="K20:K22" si="5">G20-I20+H20</f>
        <v>0</v>
      </c>
      <c r="L20" s="22"/>
      <c r="M20" s="40"/>
      <c r="N20" s="58"/>
      <c r="O20" s="58"/>
      <c r="P20" s="58"/>
    </row>
    <row r="21" spans="1:16" s="41" customFormat="1" x14ac:dyDescent="0.3">
      <c r="A21" s="5" t="s">
        <v>13</v>
      </c>
      <c r="B21" s="25">
        <v>45885</v>
      </c>
      <c r="C21" s="37">
        <v>0</v>
      </c>
      <c r="D21" s="37">
        <v>0</v>
      </c>
      <c r="E21" s="37">
        <v>0</v>
      </c>
      <c r="F21" s="37">
        <v>0</v>
      </c>
      <c r="G21" s="43">
        <f t="shared" si="4"/>
        <v>0</v>
      </c>
      <c r="H21" s="43">
        <v>0</v>
      </c>
      <c r="I21" s="43">
        <v>0</v>
      </c>
      <c r="J21" s="18"/>
      <c r="K21" s="18">
        <f t="shared" si="5"/>
        <v>0</v>
      </c>
      <c r="L21" s="22"/>
      <c r="M21" s="40"/>
      <c r="N21" s="58"/>
      <c r="O21" s="58"/>
      <c r="P21" s="58"/>
    </row>
    <row r="22" spans="1:16" s="41" customFormat="1" x14ac:dyDescent="0.3">
      <c r="A22" s="5" t="s">
        <v>14</v>
      </c>
      <c r="B22" s="25">
        <v>45886</v>
      </c>
      <c r="C22" s="37">
        <v>0</v>
      </c>
      <c r="D22" s="37">
        <v>0</v>
      </c>
      <c r="E22" s="37">
        <v>0</v>
      </c>
      <c r="F22" s="37">
        <v>0</v>
      </c>
      <c r="G22" s="43">
        <f t="shared" si="4"/>
        <v>0</v>
      </c>
      <c r="H22" s="43">
        <v>0</v>
      </c>
      <c r="I22" s="43">
        <v>0</v>
      </c>
      <c r="J22" s="18"/>
      <c r="K22" s="18">
        <f t="shared" si="5"/>
        <v>0</v>
      </c>
      <c r="L22" s="22"/>
      <c r="M22" s="40"/>
      <c r="N22" s="58"/>
      <c r="O22" s="58"/>
      <c r="P22" s="58"/>
    </row>
    <row r="23" spans="1:16" x14ac:dyDescent="0.3">
      <c r="A23" s="4" t="s">
        <v>15</v>
      </c>
      <c r="B23" s="23">
        <v>45887</v>
      </c>
      <c r="C23" s="38">
        <v>0</v>
      </c>
      <c r="D23" s="38">
        <v>0</v>
      </c>
      <c r="E23" s="38">
        <v>0</v>
      </c>
      <c r="F23" s="38">
        <v>0</v>
      </c>
      <c r="G23" s="44">
        <f t="shared" ref="G23:G29" si="6">(F23*24-E23*24)+(D23*24-C23*24)</f>
        <v>0</v>
      </c>
      <c r="H23" s="42">
        <f>+$H$3*24</f>
        <v>0.5</v>
      </c>
      <c r="I23" s="42">
        <f>+$I$3*24</f>
        <v>8</v>
      </c>
      <c r="J23" s="42">
        <f>G23-I23-H23</f>
        <v>-8.5</v>
      </c>
      <c r="K23" s="39"/>
      <c r="L23" s="24"/>
      <c r="M23" s="2"/>
    </row>
    <row r="24" spans="1:16" x14ac:dyDescent="0.3">
      <c r="A24" s="4" t="s">
        <v>16</v>
      </c>
      <c r="B24" s="23">
        <v>45888</v>
      </c>
      <c r="C24" s="38">
        <v>0</v>
      </c>
      <c r="D24" s="38">
        <v>0</v>
      </c>
      <c r="E24" s="38">
        <v>0</v>
      </c>
      <c r="F24" s="38">
        <v>0</v>
      </c>
      <c r="G24" s="44">
        <f t="shared" si="6"/>
        <v>0</v>
      </c>
      <c r="H24" s="42">
        <f>+$H$3*24</f>
        <v>0.5</v>
      </c>
      <c r="I24" s="42">
        <f>+$I$3*24</f>
        <v>8</v>
      </c>
      <c r="J24" s="42">
        <f>G24-I24-H24</f>
        <v>-8.5</v>
      </c>
      <c r="K24" s="39"/>
      <c r="L24" s="24"/>
      <c r="M24" s="2"/>
    </row>
    <row r="25" spans="1:16" x14ac:dyDescent="0.3">
      <c r="A25" s="4" t="s">
        <v>17</v>
      </c>
      <c r="B25" s="23">
        <v>45889</v>
      </c>
      <c r="C25" s="38">
        <v>0</v>
      </c>
      <c r="D25" s="38">
        <v>0</v>
      </c>
      <c r="E25" s="38">
        <v>0</v>
      </c>
      <c r="F25" s="38">
        <v>0</v>
      </c>
      <c r="G25" s="44">
        <f t="shared" si="6"/>
        <v>0</v>
      </c>
      <c r="H25" s="42">
        <f>+$H$3*24</f>
        <v>0.5</v>
      </c>
      <c r="I25" s="42">
        <f>+$I$3*24</f>
        <v>8</v>
      </c>
      <c r="J25" s="42">
        <f>G25-I25-H25</f>
        <v>-8.5</v>
      </c>
      <c r="K25" s="39"/>
      <c r="L25" s="24"/>
      <c r="M25" s="2"/>
    </row>
    <row r="26" spans="1:16" x14ac:dyDescent="0.3">
      <c r="A26" s="4" t="s">
        <v>18</v>
      </c>
      <c r="B26" s="23">
        <v>45890</v>
      </c>
      <c r="C26" s="38">
        <v>0</v>
      </c>
      <c r="D26" s="38">
        <v>0</v>
      </c>
      <c r="E26" s="38">
        <v>0</v>
      </c>
      <c r="F26" s="38">
        <v>0</v>
      </c>
      <c r="G26" s="44">
        <f t="shared" si="6"/>
        <v>0</v>
      </c>
      <c r="H26" s="42">
        <f>+$H$3*24</f>
        <v>0.5</v>
      </c>
      <c r="I26" s="42">
        <f>+$I$3*24</f>
        <v>8</v>
      </c>
      <c r="J26" s="42">
        <f>G26-I26-H26</f>
        <v>-8.5</v>
      </c>
      <c r="K26" s="39"/>
      <c r="L26" s="24"/>
      <c r="M26" s="2"/>
    </row>
    <row r="27" spans="1:16" x14ac:dyDescent="0.3">
      <c r="A27" s="4" t="s">
        <v>12</v>
      </c>
      <c r="B27" s="23">
        <v>45891</v>
      </c>
      <c r="C27" s="38">
        <v>0</v>
      </c>
      <c r="D27" s="38">
        <v>0</v>
      </c>
      <c r="E27" s="38">
        <v>0</v>
      </c>
      <c r="F27" s="38">
        <v>0</v>
      </c>
      <c r="G27" s="44">
        <f t="shared" si="6"/>
        <v>0</v>
      </c>
      <c r="H27" s="42">
        <f>+$H$3*24</f>
        <v>0.5</v>
      </c>
      <c r="I27" s="42">
        <f>+$I$3*24</f>
        <v>8</v>
      </c>
      <c r="J27" s="42">
        <f>G27-I27-H27</f>
        <v>-8.5</v>
      </c>
      <c r="K27" s="39"/>
      <c r="L27" s="24"/>
      <c r="M27" s="2"/>
    </row>
    <row r="28" spans="1:16" s="41" customFormat="1" x14ac:dyDescent="0.3">
      <c r="A28" s="5" t="s">
        <v>13</v>
      </c>
      <c r="B28" s="25">
        <v>45892</v>
      </c>
      <c r="C28" s="37">
        <v>0</v>
      </c>
      <c r="D28" s="37">
        <v>0</v>
      </c>
      <c r="E28" s="37">
        <v>0</v>
      </c>
      <c r="F28" s="37">
        <v>0</v>
      </c>
      <c r="G28" s="43">
        <f t="shared" si="6"/>
        <v>0</v>
      </c>
      <c r="H28" s="43">
        <v>0</v>
      </c>
      <c r="I28" s="43">
        <v>0</v>
      </c>
      <c r="J28" s="18"/>
      <c r="K28" s="18">
        <f t="shared" ref="K28:K29" si="7">G28-I28+H28</f>
        <v>0</v>
      </c>
      <c r="L28" s="22"/>
      <c r="M28" s="40"/>
      <c r="N28" s="58"/>
      <c r="O28" s="58"/>
      <c r="P28" s="58"/>
    </row>
    <row r="29" spans="1:16" s="41" customFormat="1" x14ac:dyDescent="0.3">
      <c r="A29" s="5" t="s">
        <v>14</v>
      </c>
      <c r="B29" s="25">
        <v>45893</v>
      </c>
      <c r="C29" s="37">
        <v>0</v>
      </c>
      <c r="D29" s="37">
        <v>0</v>
      </c>
      <c r="E29" s="37">
        <v>0</v>
      </c>
      <c r="F29" s="37">
        <v>0</v>
      </c>
      <c r="G29" s="43">
        <f t="shared" si="6"/>
        <v>0</v>
      </c>
      <c r="H29" s="43">
        <v>0</v>
      </c>
      <c r="I29" s="43">
        <v>0</v>
      </c>
      <c r="J29" s="18"/>
      <c r="K29" s="18">
        <f t="shared" si="7"/>
        <v>0</v>
      </c>
      <c r="L29" s="22"/>
      <c r="M29" s="40"/>
      <c r="N29" s="58"/>
      <c r="O29" s="58"/>
      <c r="P29" s="58"/>
    </row>
    <row r="30" spans="1:16" x14ac:dyDescent="0.3">
      <c r="A30" s="4" t="s">
        <v>15</v>
      </c>
      <c r="B30" s="23">
        <v>45894</v>
      </c>
      <c r="C30" s="38">
        <v>0</v>
      </c>
      <c r="D30" s="38">
        <v>0</v>
      </c>
      <c r="E30" s="38">
        <v>0</v>
      </c>
      <c r="F30" s="38">
        <v>0</v>
      </c>
      <c r="G30" s="44">
        <f t="shared" ref="G30:G36" si="8">(F30*24-E30*24)+(D30*24-C30*24)</f>
        <v>0</v>
      </c>
      <c r="H30" s="42">
        <f>+$H$3*24</f>
        <v>0.5</v>
      </c>
      <c r="I30" s="42">
        <f>+$I$3*24</f>
        <v>8</v>
      </c>
      <c r="J30" s="42">
        <f>G30-I30-H30</f>
        <v>-8.5</v>
      </c>
      <c r="K30" s="39"/>
      <c r="L30" s="24"/>
      <c r="M30" s="2"/>
    </row>
    <row r="31" spans="1:16" x14ac:dyDescent="0.3">
      <c r="A31" s="4" t="s">
        <v>16</v>
      </c>
      <c r="B31" s="23">
        <v>45895</v>
      </c>
      <c r="C31" s="38">
        <v>0</v>
      </c>
      <c r="D31" s="38">
        <v>0</v>
      </c>
      <c r="E31" s="38">
        <v>0</v>
      </c>
      <c r="F31" s="38">
        <v>0</v>
      </c>
      <c r="G31" s="44">
        <f t="shared" si="8"/>
        <v>0</v>
      </c>
      <c r="H31" s="42">
        <f>+$H$3*24</f>
        <v>0.5</v>
      </c>
      <c r="I31" s="42">
        <f>+$I$3*24</f>
        <v>8</v>
      </c>
      <c r="J31" s="42">
        <f>G31-I31-H31</f>
        <v>-8.5</v>
      </c>
      <c r="K31" s="39"/>
      <c r="L31" s="24"/>
      <c r="M31" s="2"/>
    </row>
    <row r="32" spans="1:16" x14ac:dyDescent="0.3">
      <c r="A32" s="4" t="s">
        <v>17</v>
      </c>
      <c r="B32" s="23">
        <v>45896</v>
      </c>
      <c r="C32" s="38">
        <v>0</v>
      </c>
      <c r="D32" s="38">
        <v>0</v>
      </c>
      <c r="E32" s="38">
        <v>0</v>
      </c>
      <c r="F32" s="38">
        <v>0</v>
      </c>
      <c r="G32" s="44">
        <f t="shared" si="8"/>
        <v>0</v>
      </c>
      <c r="H32" s="42">
        <f>+$H$3*24</f>
        <v>0.5</v>
      </c>
      <c r="I32" s="42">
        <f>+$I$3*24</f>
        <v>8</v>
      </c>
      <c r="J32" s="42">
        <f>G32-I32-H32</f>
        <v>-8.5</v>
      </c>
      <c r="K32" s="39"/>
      <c r="L32" s="24"/>
      <c r="M32" s="2"/>
    </row>
    <row r="33" spans="1:16" x14ac:dyDescent="0.3">
      <c r="A33" s="4" t="s">
        <v>18</v>
      </c>
      <c r="B33" s="23">
        <v>45897</v>
      </c>
      <c r="C33" s="38">
        <v>0</v>
      </c>
      <c r="D33" s="38">
        <v>0</v>
      </c>
      <c r="E33" s="38">
        <v>0</v>
      </c>
      <c r="F33" s="38">
        <v>0</v>
      </c>
      <c r="G33" s="44">
        <f t="shared" si="8"/>
        <v>0</v>
      </c>
      <c r="H33" s="42">
        <f>+$H$3*24</f>
        <v>0.5</v>
      </c>
      <c r="I33" s="42">
        <f>+$I$3*24</f>
        <v>8</v>
      </c>
      <c r="J33" s="42">
        <f>G33-I33-H33</f>
        <v>-8.5</v>
      </c>
      <c r="K33" s="39"/>
      <c r="L33" s="24"/>
      <c r="M33" s="2"/>
    </row>
    <row r="34" spans="1:16" x14ac:dyDescent="0.3">
      <c r="A34" s="4" t="s">
        <v>12</v>
      </c>
      <c r="B34" s="23">
        <v>45898</v>
      </c>
      <c r="C34" s="38">
        <v>0</v>
      </c>
      <c r="D34" s="38">
        <v>0</v>
      </c>
      <c r="E34" s="38">
        <v>0</v>
      </c>
      <c r="F34" s="38">
        <v>0</v>
      </c>
      <c r="G34" s="44">
        <f t="shared" si="8"/>
        <v>0</v>
      </c>
      <c r="H34" s="42">
        <f>+$H$3*24</f>
        <v>0.5</v>
      </c>
      <c r="I34" s="42">
        <f>+$I$3*24</f>
        <v>8</v>
      </c>
      <c r="J34" s="42">
        <f>G34-I34-H34</f>
        <v>-8.5</v>
      </c>
      <c r="K34" s="39"/>
      <c r="L34" s="24"/>
      <c r="M34" s="2"/>
    </row>
    <row r="35" spans="1:16" s="41" customFormat="1" x14ac:dyDescent="0.3">
      <c r="A35" s="5" t="s">
        <v>13</v>
      </c>
      <c r="B35" s="25">
        <v>45899</v>
      </c>
      <c r="C35" s="37">
        <v>0</v>
      </c>
      <c r="D35" s="37">
        <v>0</v>
      </c>
      <c r="E35" s="37">
        <v>0</v>
      </c>
      <c r="F35" s="37">
        <v>0</v>
      </c>
      <c r="G35" s="43">
        <f t="shared" si="8"/>
        <v>0</v>
      </c>
      <c r="H35" s="43">
        <v>0</v>
      </c>
      <c r="I35" s="43">
        <v>0</v>
      </c>
      <c r="J35" s="18"/>
      <c r="K35" s="18">
        <f t="shared" ref="K35:K36" si="9">G35-I35+H35</f>
        <v>0</v>
      </c>
      <c r="L35" s="22"/>
      <c r="M35" s="40"/>
      <c r="N35" s="58"/>
      <c r="O35" s="58"/>
      <c r="P35" s="58"/>
    </row>
    <row r="36" spans="1:16" s="41" customFormat="1" ht="17.25" thickBot="1" x14ac:dyDescent="0.35">
      <c r="A36" s="5" t="s">
        <v>14</v>
      </c>
      <c r="B36" s="61">
        <v>45900</v>
      </c>
      <c r="C36" s="62">
        <v>0</v>
      </c>
      <c r="D36" s="62">
        <v>0</v>
      </c>
      <c r="E36" s="62">
        <v>0</v>
      </c>
      <c r="F36" s="62">
        <v>0</v>
      </c>
      <c r="G36" s="63">
        <f t="shared" si="8"/>
        <v>0</v>
      </c>
      <c r="H36" s="63">
        <v>0</v>
      </c>
      <c r="I36" s="63">
        <v>0</v>
      </c>
      <c r="J36" s="64"/>
      <c r="K36" s="64">
        <f t="shared" si="9"/>
        <v>0</v>
      </c>
      <c r="L36" s="65"/>
      <c r="M36" s="40"/>
      <c r="N36" s="58"/>
      <c r="O36" s="58"/>
      <c r="P36" s="58"/>
    </row>
    <row r="37" spans="1:16" x14ac:dyDescent="0.3">
      <c r="A37" s="13"/>
      <c r="B37" s="12"/>
      <c r="C37" s="2"/>
      <c r="D37" s="2"/>
      <c r="E37" s="2"/>
      <c r="F37" s="8"/>
      <c r="G37" s="9">
        <f>SUM(G6:G36)</f>
        <v>0</v>
      </c>
      <c r="H37" s="10">
        <f>SUM(H6:H36)</f>
        <v>10</v>
      </c>
      <c r="I37" s="11">
        <f>SUM(I6:I36)</f>
        <v>160</v>
      </c>
      <c r="J37" s="9">
        <f>SUM(J6:J36)</f>
        <v>-170</v>
      </c>
      <c r="K37" s="9">
        <f>SUM(K6:K36)</f>
        <v>0</v>
      </c>
      <c r="L37" s="2"/>
      <c r="M37" s="2"/>
    </row>
    <row r="38" spans="1:16" x14ac:dyDescent="0.3">
      <c r="A38" s="14"/>
      <c r="B38" s="12"/>
    </row>
    <row r="39" spans="1:16" x14ac:dyDescent="0.3">
      <c r="B39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8176-71A6-450F-9CE4-066E96493D0E}">
  <sheetPr>
    <pageSetUpPr fitToPage="1"/>
  </sheetPr>
  <dimension ref="A1:P38"/>
  <sheetViews>
    <sheetView workbookViewId="0">
      <selection activeCell="Q10" sqref="Q10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3" width="11.42578125" style="1"/>
    <col min="14" max="14" width="11.85546875" style="1" bestFit="1" customWidth="1"/>
    <col min="15" max="15" width="10.5703125" style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25</v>
      </c>
      <c r="G3" s="2"/>
      <c r="H3" s="52">
        <v>2.0833333333333332E-2</v>
      </c>
      <c r="I3" s="53">
        <v>0.33333333333333331</v>
      </c>
      <c r="J3" s="2"/>
      <c r="K3" s="2"/>
      <c r="N3" s="59">
        <f>+J36</f>
        <v>-187</v>
      </c>
      <c r="O3" s="59">
        <f>+K36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-1683</v>
      </c>
      <c r="O5" s="71">
        <f>+O3*O1</f>
        <v>0</v>
      </c>
      <c r="P5" s="71">
        <f>+O5+N5</f>
        <v>-1683</v>
      </c>
    </row>
    <row r="6" spans="1:16" x14ac:dyDescent="0.3">
      <c r="A6" s="4" t="s">
        <v>15</v>
      </c>
      <c r="B6" s="23">
        <v>45901</v>
      </c>
      <c r="C6" s="38">
        <v>0</v>
      </c>
      <c r="D6" s="38">
        <v>0</v>
      </c>
      <c r="E6" s="38">
        <v>0</v>
      </c>
      <c r="F6" s="38">
        <v>0</v>
      </c>
      <c r="G6" s="44">
        <f t="shared" ref="G6:G12" si="0">(F6*24-E6*24)+(D6*24-C6*24)</f>
        <v>0</v>
      </c>
      <c r="H6" s="42">
        <f>+$H$3*24</f>
        <v>0.5</v>
      </c>
      <c r="I6" s="42">
        <f>+$I$3*24</f>
        <v>8</v>
      </c>
      <c r="J6" s="42">
        <f>G6-I6-H6</f>
        <v>-8.5</v>
      </c>
      <c r="K6" s="39"/>
      <c r="L6" s="24"/>
      <c r="M6" s="2"/>
      <c r="N6" s="15"/>
      <c r="O6" s="15"/>
      <c r="P6" s="15"/>
    </row>
    <row r="7" spans="1:16" x14ac:dyDescent="0.3">
      <c r="A7" s="4" t="s">
        <v>16</v>
      </c>
      <c r="B7" s="23">
        <v>45902</v>
      </c>
      <c r="C7" s="38">
        <v>0</v>
      </c>
      <c r="D7" s="38">
        <v>0</v>
      </c>
      <c r="E7" s="38">
        <v>0</v>
      </c>
      <c r="F7" s="38">
        <v>0</v>
      </c>
      <c r="G7" s="44">
        <f t="shared" si="0"/>
        <v>0</v>
      </c>
      <c r="H7" s="42">
        <f>+$H$3*24</f>
        <v>0.5</v>
      </c>
      <c r="I7" s="42">
        <f>+$I$3*24</f>
        <v>8</v>
      </c>
      <c r="J7" s="42">
        <f>G7-I7-H7</f>
        <v>-8.5</v>
      </c>
      <c r="K7" s="39"/>
      <c r="L7" s="24"/>
      <c r="M7" s="2"/>
      <c r="N7" s="15"/>
      <c r="O7" s="15"/>
      <c r="P7" s="15"/>
    </row>
    <row r="8" spans="1:16" x14ac:dyDescent="0.3">
      <c r="A8" s="4" t="s">
        <v>17</v>
      </c>
      <c r="B8" s="23">
        <v>45903</v>
      </c>
      <c r="C8" s="38">
        <v>0</v>
      </c>
      <c r="D8" s="38">
        <v>0</v>
      </c>
      <c r="E8" s="38">
        <v>0</v>
      </c>
      <c r="F8" s="38">
        <v>0</v>
      </c>
      <c r="G8" s="44">
        <f t="shared" si="0"/>
        <v>0</v>
      </c>
      <c r="H8" s="42">
        <f>+$H$3*24</f>
        <v>0.5</v>
      </c>
      <c r="I8" s="42">
        <f>+$I$3*24</f>
        <v>8</v>
      </c>
      <c r="J8" s="42">
        <f>G8-I8-H8</f>
        <v>-8.5</v>
      </c>
      <c r="K8" s="39"/>
      <c r="L8" s="24"/>
      <c r="M8" s="2"/>
      <c r="P8" s="16"/>
    </row>
    <row r="9" spans="1:16" x14ac:dyDescent="0.3">
      <c r="A9" s="4" t="s">
        <v>18</v>
      </c>
      <c r="B9" s="23">
        <v>45904</v>
      </c>
      <c r="C9" s="38">
        <v>0</v>
      </c>
      <c r="D9" s="38">
        <v>0</v>
      </c>
      <c r="E9" s="38">
        <v>0</v>
      </c>
      <c r="F9" s="38">
        <v>0</v>
      </c>
      <c r="G9" s="44">
        <f t="shared" si="0"/>
        <v>0</v>
      </c>
      <c r="H9" s="42">
        <f>+$H$3*24</f>
        <v>0.5</v>
      </c>
      <c r="I9" s="42">
        <f>+$I$3*24</f>
        <v>8</v>
      </c>
      <c r="J9" s="42">
        <f>G9-I9-H9</f>
        <v>-8.5</v>
      </c>
      <c r="K9" s="39"/>
      <c r="L9" s="24"/>
      <c r="M9" s="2"/>
    </row>
    <row r="10" spans="1:16" x14ac:dyDescent="0.3">
      <c r="A10" s="4" t="s">
        <v>12</v>
      </c>
      <c r="B10" s="23">
        <v>45905</v>
      </c>
      <c r="C10" s="38">
        <v>0</v>
      </c>
      <c r="D10" s="38">
        <v>0</v>
      </c>
      <c r="E10" s="38">
        <v>0</v>
      </c>
      <c r="F10" s="38">
        <v>0</v>
      </c>
      <c r="G10" s="44">
        <f t="shared" si="0"/>
        <v>0</v>
      </c>
      <c r="H10" s="42">
        <f>+$H$3*24</f>
        <v>0.5</v>
      </c>
      <c r="I10" s="42">
        <f>+$I$3*24</f>
        <v>8</v>
      </c>
      <c r="J10" s="42">
        <f>G10-I10-H10</f>
        <v>-8.5</v>
      </c>
      <c r="K10" s="39"/>
      <c r="L10" s="24"/>
      <c r="M10" s="2"/>
    </row>
    <row r="11" spans="1:16" s="41" customFormat="1" x14ac:dyDescent="0.3">
      <c r="A11" s="5" t="s">
        <v>13</v>
      </c>
      <c r="B11" s="25">
        <v>45906</v>
      </c>
      <c r="C11" s="37">
        <v>0</v>
      </c>
      <c r="D11" s="37">
        <v>0</v>
      </c>
      <c r="E11" s="37">
        <v>0</v>
      </c>
      <c r="F11" s="37">
        <v>0</v>
      </c>
      <c r="G11" s="43">
        <f t="shared" si="0"/>
        <v>0</v>
      </c>
      <c r="H11" s="43">
        <v>0</v>
      </c>
      <c r="I11" s="43">
        <v>0</v>
      </c>
      <c r="J11" s="18"/>
      <c r="K11" s="18">
        <f t="shared" ref="K11:K12" si="1">G11-I11+H11</f>
        <v>0</v>
      </c>
      <c r="L11" s="22"/>
      <c r="M11" s="40"/>
      <c r="N11" s="58"/>
      <c r="O11" s="58"/>
      <c r="P11" s="58"/>
    </row>
    <row r="12" spans="1:16" s="41" customFormat="1" x14ac:dyDescent="0.3">
      <c r="A12" s="5" t="s">
        <v>14</v>
      </c>
      <c r="B12" s="25">
        <v>45907</v>
      </c>
      <c r="C12" s="37">
        <v>0</v>
      </c>
      <c r="D12" s="37">
        <v>0</v>
      </c>
      <c r="E12" s="37">
        <v>0</v>
      </c>
      <c r="F12" s="37">
        <v>0</v>
      </c>
      <c r="G12" s="43">
        <f t="shared" si="0"/>
        <v>0</v>
      </c>
      <c r="H12" s="43">
        <v>0</v>
      </c>
      <c r="I12" s="43">
        <v>0</v>
      </c>
      <c r="J12" s="18"/>
      <c r="K12" s="18">
        <f t="shared" si="1"/>
        <v>0</v>
      </c>
      <c r="L12" s="22"/>
      <c r="M12" s="40"/>
      <c r="N12" s="58"/>
      <c r="O12" s="58"/>
      <c r="P12" s="58"/>
    </row>
    <row r="13" spans="1:16" x14ac:dyDescent="0.3">
      <c r="A13" s="4" t="s">
        <v>15</v>
      </c>
      <c r="B13" s="23">
        <v>45908</v>
      </c>
      <c r="C13" s="38">
        <v>0</v>
      </c>
      <c r="D13" s="38">
        <v>0</v>
      </c>
      <c r="E13" s="38">
        <v>0</v>
      </c>
      <c r="F13" s="38">
        <v>0</v>
      </c>
      <c r="G13" s="44">
        <f t="shared" ref="G13:G19" si="2">(F13*24-E13*24)+(D13*24-C13*24)</f>
        <v>0</v>
      </c>
      <c r="H13" s="42">
        <f>+$H$3*24</f>
        <v>0.5</v>
      </c>
      <c r="I13" s="42">
        <f>+$I$3*24</f>
        <v>8</v>
      </c>
      <c r="J13" s="42">
        <f>G13-I13-H13</f>
        <v>-8.5</v>
      </c>
      <c r="K13" s="39"/>
      <c r="L13" s="24"/>
      <c r="M13" s="2"/>
    </row>
    <row r="14" spans="1:16" x14ac:dyDescent="0.3">
      <c r="A14" s="4" t="s">
        <v>16</v>
      </c>
      <c r="B14" s="23">
        <v>45909</v>
      </c>
      <c r="C14" s="38">
        <v>0</v>
      </c>
      <c r="D14" s="38">
        <v>0</v>
      </c>
      <c r="E14" s="38">
        <v>0</v>
      </c>
      <c r="F14" s="38">
        <v>0</v>
      </c>
      <c r="G14" s="44">
        <f t="shared" si="2"/>
        <v>0</v>
      </c>
      <c r="H14" s="42">
        <f>+$H$3*24</f>
        <v>0.5</v>
      </c>
      <c r="I14" s="42">
        <f>+$I$3*24</f>
        <v>8</v>
      </c>
      <c r="J14" s="42">
        <f>G14-I14-H14</f>
        <v>-8.5</v>
      </c>
      <c r="K14" s="39"/>
      <c r="L14" s="24"/>
      <c r="M14" s="2"/>
    </row>
    <row r="15" spans="1:16" x14ac:dyDescent="0.3">
      <c r="A15" s="4" t="s">
        <v>17</v>
      </c>
      <c r="B15" s="23">
        <v>45910</v>
      </c>
      <c r="C15" s="38">
        <v>0</v>
      </c>
      <c r="D15" s="38">
        <v>0</v>
      </c>
      <c r="E15" s="38">
        <v>0</v>
      </c>
      <c r="F15" s="38">
        <v>0</v>
      </c>
      <c r="G15" s="44">
        <f t="shared" si="2"/>
        <v>0</v>
      </c>
      <c r="H15" s="42">
        <f>+$H$3*24</f>
        <v>0.5</v>
      </c>
      <c r="I15" s="42">
        <f>+$I$3*24</f>
        <v>8</v>
      </c>
      <c r="J15" s="42">
        <f>G15-I15-H15</f>
        <v>-8.5</v>
      </c>
      <c r="K15" s="39"/>
      <c r="L15" s="24"/>
      <c r="M15" s="2"/>
    </row>
    <row r="16" spans="1:16" x14ac:dyDescent="0.3">
      <c r="A16" s="4" t="s">
        <v>18</v>
      </c>
      <c r="B16" s="23">
        <v>45911</v>
      </c>
      <c r="C16" s="38">
        <v>0</v>
      </c>
      <c r="D16" s="38">
        <v>0</v>
      </c>
      <c r="E16" s="38">
        <v>0</v>
      </c>
      <c r="F16" s="38">
        <v>0</v>
      </c>
      <c r="G16" s="44">
        <f t="shared" si="2"/>
        <v>0</v>
      </c>
      <c r="H16" s="42">
        <f>+$H$3*24</f>
        <v>0.5</v>
      </c>
      <c r="I16" s="42">
        <f>+$I$3*24</f>
        <v>8</v>
      </c>
      <c r="J16" s="42">
        <f>G16-I16-H16</f>
        <v>-8.5</v>
      </c>
      <c r="K16" s="39"/>
      <c r="L16" s="24"/>
      <c r="M16" s="2"/>
    </row>
    <row r="17" spans="1:16" x14ac:dyDescent="0.3">
      <c r="A17" s="4" t="s">
        <v>12</v>
      </c>
      <c r="B17" s="23">
        <v>45912</v>
      </c>
      <c r="C17" s="38">
        <v>0</v>
      </c>
      <c r="D17" s="38">
        <v>0</v>
      </c>
      <c r="E17" s="38">
        <v>0</v>
      </c>
      <c r="F17" s="38">
        <v>0</v>
      </c>
      <c r="G17" s="44">
        <f t="shared" si="2"/>
        <v>0</v>
      </c>
      <c r="H17" s="42">
        <f>+$H$3*24</f>
        <v>0.5</v>
      </c>
      <c r="I17" s="42">
        <f>+$I$3*24</f>
        <v>8</v>
      </c>
      <c r="J17" s="42">
        <f>G17-I17-H17</f>
        <v>-8.5</v>
      </c>
      <c r="K17" s="39"/>
      <c r="L17" s="24"/>
      <c r="M17" s="2"/>
    </row>
    <row r="18" spans="1:16" s="41" customFormat="1" x14ac:dyDescent="0.3">
      <c r="A18" s="5" t="s">
        <v>13</v>
      </c>
      <c r="B18" s="25">
        <v>45913</v>
      </c>
      <c r="C18" s="37">
        <v>0</v>
      </c>
      <c r="D18" s="37">
        <v>0</v>
      </c>
      <c r="E18" s="37">
        <v>0</v>
      </c>
      <c r="F18" s="37">
        <v>0</v>
      </c>
      <c r="G18" s="43">
        <f t="shared" si="2"/>
        <v>0</v>
      </c>
      <c r="H18" s="43">
        <v>0</v>
      </c>
      <c r="I18" s="43">
        <v>0</v>
      </c>
      <c r="J18" s="18"/>
      <c r="K18" s="18">
        <f t="shared" ref="K18:K19" si="3">G18-I18+H18</f>
        <v>0</v>
      </c>
      <c r="L18" s="22"/>
      <c r="M18" s="40"/>
      <c r="N18" s="58"/>
      <c r="O18" s="58"/>
      <c r="P18" s="58"/>
    </row>
    <row r="19" spans="1:16" s="41" customFormat="1" x14ac:dyDescent="0.3">
      <c r="A19" s="5" t="s">
        <v>14</v>
      </c>
      <c r="B19" s="25">
        <v>45914</v>
      </c>
      <c r="C19" s="37">
        <v>0</v>
      </c>
      <c r="D19" s="37">
        <v>0</v>
      </c>
      <c r="E19" s="37">
        <v>0</v>
      </c>
      <c r="F19" s="37">
        <v>0</v>
      </c>
      <c r="G19" s="43">
        <f t="shared" si="2"/>
        <v>0</v>
      </c>
      <c r="H19" s="43">
        <v>0</v>
      </c>
      <c r="I19" s="43">
        <v>0</v>
      </c>
      <c r="J19" s="18"/>
      <c r="K19" s="18">
        <f t="shared" si="3"/>
        <v>0</v>
      </c>
      <c r="L19" s="22"/>
      <c r="M19" s="40"/>
      <c r="N19" s="58"/>
      <c r="O19" s="58"/>
      <c r="P19" s="58"/>
    </row>
    <row r="20" spans="1:16" x14ac:dyDescent="0.3">
      <c r="A20" s="4" t="s">
        <v>15</v>
      </c>
      <c r="B20" s="23">
        <v>45915</v>
      </c>
      <c r="C20" s="38">
        <v>0</v>
      </c>
      <c r="D20" s="38">
        <v>0</v>
      </c>
      <c r="E20" s="38">
        <v>0</v>
      </c>
      <c r="F20" s="38">
        <v>0</v>
      </c>
      <c r="G20" s="44">
        <f t="shared" ref="G20:G26" si="4">(F20*24-E20*24)+(D20*24-C20*24)</f>
        <v>0</v>
      </c>
      <c r="H20" s="42">
        <f>+$H$3*24</f>
        <v>0.5</v>
      </c>
      <c r="I20" s="42">
        <f>+$I$3*24</f>
        <v>8</v>
      </c>
      <c r="J20" s="42">
        <f>G20-I20-H20</f>
        <v>-8.5</v>
      </c>
      <c r="K20" s="39"/>
      <c r="L20" s="24"/>
      <c r="M20" s="2"/>
    </row>
    <row r="21" spans="1:16" x14ac:dyDescent="0.3">
      <c r="A21" s="4" t="s">
        <v>16</v>
      </c>
      <c r="B21" s="23">
        <v>45916</v>
      </c>
      <c r="C21" s="38">
        <v>0</v>
      </c>
      <c r="D21" s="38">
        <v>0</v>
      </c>
      <c r="E21" s="38">
        <v>0</v>
      </c>
      <c r="F21" s="38">
        <v>0</v>
      </c>
      <c r="G21" s="44">
        <f t="shared" si="4"/>
        <v>0</v>
      </c>
      <c r="H21" s="42">
        <f>+$H$3*24</f>
        <v>0.5</v>
      </c>
      <c r="I21" s="42">
        <f>+$I$3*24</f>
        <v>8</v>
      </c>
      <c r="J21" s="42">
        <f>G21-I21-H21</f>
        <v>-8.5</v>
      </c>
      <c r="K21" s="39"/>
      <c r="L21" s="24"/>
      <c r="M21" s="2"/>
    </row>
    <row r="22" spans="1:16" x14ac:dyDescent="0.3">
      <c r="A22" s="4" t="s">
        <v>17</v>
      </c>
      <c r="B22" s="23">
        <v>45917</v>
      </c>
      <c r="C22" s="38">
        <v>0</v>
      </c>
      <c r="D22" s="38">
        <v>0</v>
      </c>
      <c r="E22" s="38">
        <v>0</v>
      </c>
      <c r="F22" s="38">
        <v>0</v>
      </c>
      <c r="G22" s="44">
        <f t="shared" si="4"/>
        <v>0</v>
      </c>
      <c r="H22" s="42">
        <f>+$H$3*24</f>
        <v>0.5</v>
      </c>
      <c r="I22" s="42">
        <f>+$I$3*24</f>
        <v>8</v>
      </c>
      <c r="J22" s="42">
        <f>G22-I22-H22</f>
        <v>-8.5</v>
      </c>
      <c r="K22" s="39"/>
      <c r="L22" s="24"/>
      <c r="M22" s="2"/>
    </row>
    <row r="23" spans="1:16" x14ac:dyDescent="0.3">
      <c r="A23" s="4" t="s">
        <v>18</v>
      </c>
      <c r="B23" s="23">
        <v>45918</v>
      </c>
      <c r="C23" s="38">
        <v>0</v>
      </c>
      <c r="D23" s="38">
        <v>0</v>
      </c>
      <c r="E23" s="38">
        <v>0</v>
      </c>
      <c r="F23" s="38">
        <v>0</v>
      </c>
      <c r="G23" s="44">
        <f t="shared" si="4"/>
        <v>0</v>
      </c>
      <c r="H23" s="42">
        <f>+$H$3*24</f>
        <v>0.5</v>
      </c>
      <c r="I23" s="42">
        <f>+$I$3*24</f>
        <v>8</v>
      </c>
      <c r="J23" s="42">
        <f>G23-I23-H23</f>
        <v>-8.5</v>
      </c>
      <c r="K23" s="39"/>
      <c r="L23" s="24"/>
      <c r="M23" s="2"/>
    </row>
    <row r="24" spans="1:16" x14ac:dyDescent="0.3">
      <c r="A24" s="4" t="s">
        <v>12</v>
      </c>
      <c r="B24" s="23">
        <v>45919</v>
      </c>
      <c r="C24" s="38">
        <v>0</v>
      </c>
      <c r="D24" s="38">
        <v>0</v>
      </c>
      <c r="E24" s="38">
        <v>0</v>
      </c>
      <c r="F24" s="38">
        <v>0</v>
      </c>
      <c r="G24" s="44">
        <f t="shared" si="4"/>
        <v>0</v>
      </c>
      <c r="H24" s="42">
        <f>+$H$3*24</f>
        <v>0.5</v>
      </c>
      <c r="I24" s="42">
        <f>+$I$3*24</f>
        <v>8</v>
      </c>
      <c r="J24" s="42">
        <f>G24-I24-H24</f>
        <v>-8.5</v>
      </c>
      <c r="K24" s="39"/>
      <c r="L24" s="24"/>
      <c r="M24" s="2"/>
    </row>
    <row r="25" spans="1:16" s="41" customFormat="1" x14ac:dyDescent="0.3">
      <c r="A25" s="5" t="s">
        <v>13</v>
      </c>
      <c r="B25" s="25">
        <v>45920</v>
      </c>
      <c r="C25" s="37">
        <v>0</v>
      </c>
      <c r="D25" s="37">
        <v>0</v>
      </c>
      <c r="E25" s="37">
        <v>0</v>
      </c>
      <c r="F25" s="37">
        <v>0</v>
      </c>
      <c r="G25" s="43">
        <f t="shared" si="4"/>
        <v>0</v>
      </c>
      <c r="H25" s="43">
        <v>0</v>
      </c>
      <c r="I25" s="43">
        <v>0</v>
      </c>
      <c r="J25" s="18"/>
      <c r="K25" s="18">
        <f t="shared" ref="K25:K26" si="5">G25-I25+H25</f>
        <v>0</v>
      </c>
      <c r="L25" s="22"/>
      <c r="M25" s="40"/>
      <c r="N25" s="58"/>
      <c r="O25" s="58"/>
      <c r="P25" s="58"/>
    </row>
    <row r="26" spans="1:16" s="41" customFormat="1" x14ac:dyDescent="0.3">
      <c r="A26" s="5" t="s">
        <v>14</v>
      </c>
      <c r="B26" s="25">
        <v>45921</v>
      </c>
      <c r="C26" s="37">
        <v>0</v>
      </c>
      <c r="D26" s="37">
        <v>0</v>
      </c>
      <c r="E26" s="37">
        <v>0</v>
      </c>
      <c r="F26" s="37">
        <v>0</v>
      </c>
      <c r="G26" s="43">
        <f t="shared" si="4"/>
        <v>0</v>
      </c>
      <c r="H26" s="43">
        <v>0</v>
      </c>
      <c r="I26" s="43">
        <v>0</v>
      </c>
      <c r="J26" s="18"/>
      <c r="K26" s="18">
        <f t="shared" si="5"/>
        <v>0</v>
      </c>
      <c r="L26" s="22"/>
      <c r="M26" s="40"/>
      <c r="N26" s="58"/>
      <c r="O26" s="58"/>
      <c r="P26" s="58"/>
    </row>
    <row r="27" spans="1:16" x14ac:dyDescent="0.3">
      <c r="A27" s="4" t="s">
        <v>15</v>
      </c>
      <c r="B27" s="23">
        <v>45922</v>
      </c>
      <c r="C27" s="38">
        <v>0</v>
      </c>
      <c r="D27" s="38">
        <v>0</v>
      </c>
      <c r="E27" s="38">
        <v>0</v>
      </c>
      <c r="F27" s="38">
        <v>0</v>
      </c>
      <c r="G27" s="44">
        <f t="shared" ref="G27:G33" si="6">(F27*24-E27*24)+(D27*24-C27*24)</f>
        <v>0</v>
      </c>
      <c r="H27" s="42">
        <f>+$H$3*24</f>
        <v>0.5</v>
      </c>
      <c r="I27" s="42">
        <f>+$I$3*24</f>
        <v>8</v>
      </c>
      <c r="J27" s="42">
        <f>G27-I27-H27</f>
        <v>-8.5</v>
      </c>
      <c r="K27" s="39"/>
      <c r="L27" s="24"/>
      <c r="M27" s="2"/>
    </row>
    <row r="28" spans="1:16" x14ac:dyDescent="0.3">
      <c r="A28" s="4" t="s">
        <v>16</v>
      </c>
      <c r="B28" s="23">
        <v>45923</v>
      </c>
      <c r="C28" s="38">
        <v>0</v>
      </c>
      <c r="D28" s="38">
        <v>0</v>
      </c>
      <c r="E28" s="38">
        <v>0</v>
      </c>
      <c r="F28" s="38">
        <v>0</v>
      </c>
      <c r="G28" s="44">
        <f t="shared" si="6"/>
        <v>0</v>
      </c>
      <c r="H28" s="42">
        <f>+$H$3*24</f>
        <v>0.5</v>
      </c>
      <c r="I28" s="42">
        <f>+$I$3*24</f>
        <v>8</v>
      </c>
      <c r="J28" s="42">
        <f>G28-I28-H28</f>
        <v>-8.5</v>
      </c>
      <c r="K28" s="39"/>
      <c r="L28" s="24"/>
      <c r="M28" s="2"/>
    </row>
    <row r="29" spans="1:16" x14ac:dyDescent="0.3">
      <c r="A29" s="4" t="s">
        <v>17</v>
      </c>
      <c r="B29" s="23">
        <v>45924</v>
      </c>
      <c r="C29" s="38">
        <v>0</v>
      </c>
      <c r="D29" s="38">
        <v>0</v>
      </c>
      <c r="E29" s="38">
        <v>0</v>
      </c>
      <c r="F29" s="38">
        <v>0</v>
      </c>
      <c r="G29" s="44">
        <f t="shared" si="6"/>
        <v>0</v>
      </c>
      <c r="H29" s="42">
        <f>+$H$3*24</f>
        <v>0.5</v>
      </c>
      <c r="I29" s="42">
        <f>+$I$3*24</f>
        <v>8</v>
      </c>
      <c r="J29" s="42">
        <f>G29-I29-H29</f>
        <v>-8.5</v>
      </c>
      <c r="K29" s="39"/>
      <c r="L29" s="24"/>
      <c r="M29" s="2"/>
    </row>
    <row r="30" spans="1:16" x14ac:dyDescent="0.3">
      <c r="A30" s="4" t="s">
        <v>18</v>
      </c>
      <c r="B30" s="23">
        <v>45925</v>
      </c>
      <c r="C30" s="38">
        <v>0</v>
      </c>
      <c r="D30" s="38">
        <v>0</v>
      </c>
      <c r="E30" s="38">
        <v>0</v>
      </c>
      <c r="F30" s="38">
        <v>0</v>
      </c>
      <c r="G30" s="44">
        <f t="shared" si="6"/>
        <v>0</v>
      </c>
      <c r="H30" s="42">
        <f>+$H$3*24</f>
        <v>0.5</v>
      </c>
      <c r="I30" s="42">
        <f>+$I$3*24</f>
        <v>8</v>
      </c>
      <c r="J30" s="42">
        <f>G30-I30-H30</f>
        <v>-8.5</v>
      </c>
      <c r="K30" s="39"/>
      <c r="L30" s="24"/>
      <c r="M30" s="2"/>
    </row>
    <row r="31" spans="1:16" x14ac:dyDescent="0.3">
      <c r="A31" s="4" t="s">
        <v>12</v>
      </c>
      <c r="B31" s="23">
        <v>45926</v>
      </c>
      <c r="C31" s="38">
        <v>0</v>
      </c>
      <c r="D31" s="38">
        <v>0</v>
      </c>
      <c r="E31" s="38">
        <v>0</v>
      </c>
      <c r="F31" s="38">
        <v>0</v>
      </c>
      <c r="G31" s="44">
        <f t="shared" si="6"/>
        <v>0</v>
      </c>
      <c r="H31" s="42">
        <f>+$H$3*24</f>
        <v>0.5</v>
      </c>
      <c r="I31" s="42">
        <f>+$I$3*24</f>
        <v>8</v>
      </c>
      <c r="J31" s="42">
        <f>G31-I31-H31</f>
        <v>-8.5</v>
      </c>
      <c r="K31" s="39"/>
      <c r="L31" s="24"/>
      <c r="M31" s="2"/>
    </row>
    <row r="32" spans="1:16" s="41" customFormat="1" x14ac:dyDescent="0.3">
      <c r="A32" s="5" t="s">
        <v>13</v>
      </c>
      <c r="B32" s="25">
        <v>45927</v>
      </c>
      <c r="C32" s="37">
        <v>0</v>
      </c>
      <c r="D32" s="37">
        <v>0</v>
      </c>
      <c r="E32" s="37">
        <v>0</v>
      </c>
      <c r="F32" s="37">
        <v>0</v>
      </c>
      <c r="G32" s="43">
        <f t="shared" si="6"/>
        <v>0</v>
      </c>
      <c r="H32" s="43">
        <v>0</v>
      </c>
      <c r="I32" s="43">
        <v>0</v>
      </c>
      <c r="J32" s="18"/>
      <c r="K32" s="18">
        <f t="shared" ref="K32:K33" si="7">G32-I32+H32</f>
        <v>0</v>
      </c>
      <c r="L32" s="22"/>
      <c r="M32" s="40"/>
      <c r="N32" s="58"/>
      <c r="O32" s="58"/>
      <c r="P32" s="58"/>
    </row>
    <row r="33" spans="1:16" s="41" customFormat="1" x14ac:dyDescent="0.3">
      <c r="A33" s="5" t="s">
        <v>14</v>
      </c>
      <c r="B33" s="25">
        <v>45928</v>
      </c>
      <c r="C33" s="37">
        <v>0</v>
      </c>
      <c r="D33" s="37">
        <v>0</v>
      </c>
      <c r="E33" s="37">
        <v>0</v>
      </c>
      <c r="F33" s="37">
        <v>0</v>
      </c>
      <c r="G33" s="43">
        <f t="shared" si="6"/>
        <v>0</v>
      </c>
      <c r="H33" s="43">
        <v>0</v>
      </c>
      <c r="I33" s="43">
        <v>0</v>
      </c>
      <c r="J33" s="18"/>
      <c r="K33" s="18">
        <f t="shared" si="7"/>
        <v>0</v>
      </c>
      <c r="L33" s="22"/>
      <c r="M33" s="40"/>
      <c r="N33" s="58"/>
      <c r="O33" s="58"/>
      <c r="P33" s="58"/>
    </row>
    <row r="34" spans="1:16" x14ac:dyDescent="0.3">
      <c r="A34" s="4" t="s">
        <v>15</v>
      </c>
      <c r="B34" s="23">
        <v>45929</v>
      </c>
      <c r="C34" s="38">
        <v>0</v>
      </c>
      <c r="D34" s="38">
        <v>0</v>
      </c>
      <c r="E34" s="38">
        <v>0</v>
      </c>
      <c r="F34" s="38">
        <v>0</v>
      </c>
      <c r="G34" s="44">
        <f t="shared" ref="G34:G35" si="8">(F34*24-E34*24)+(D34*24-C34*24)</f>
        <v>0</v>
      </c>
      <c r="H34" s="42">
        <f>+$H$3*24</f>
        <v>0.5</v>
      </c>
      <c r="I34" s="42">
        <f>+$I$3*24</f>
        <v>8</v>
      </c>
      <c r="J34" s="42">
        <f>G34-I34-H34</f>
        <v>-8.5</v>
      </c>
      <c r="K34" s="39"/>
      <c r="L34" s="24"/>
      <c r="M34" s="2"/>
    </row>
    <row r="35" spans="1:16" ht="17.25" thickBot="1" x14ac:dyDescent="0.35">
      <c r="A35" s="4" t="s">
        <v>17</v>
      </c>
      <c r="B35" s="27">
        <v>45930</v>
      </c>
      <c r="C35" s="47">
        <v>0</v>
      </c>
      <c r="D35" s="47">
        <v>0</v>
      </c>
      <c r="E35" s="47">
        <v>0</v>
      </c>
      <c r="F35" s="47">
        <v>0</v>
      </c>
      <c r="G35" s="48">
        <f t="shared" si="8"/>
        <v>0</v>
      </c>
      <c r="H35" s="49">
        <f>+$H$3*24</f>
        <v>0.5</v>
      </c>
      <c r="I35" s="49">
        <f>+$I$3*24</f>
        <v>8</v>
      </c>
      <c r="J35" s="49">
        <f>G35-I35-H35</f>
        <v>-8.5</v>
      </c>
      <c r="K35" s="50"/>
      <c r="L35" s="28"/>
      <c r="M35" s="2"/>
    </row>
    <row r="36" spans="1:16" x14ac:dyDescent="0.3">
      <c r="A36" s="13"/>
      <c r="B36" s="12"/>
      <c r="C36" s="2"/>
      <c r="D36" s="2"/>
      <c r="E36" s="2"/>
      <c r="F36" s="8"/>
      <c r="G36" s="9">
        <f>SUM(G6:G35)</f>
        <v>0</v>
      </c>
      <c r="H36" s="10">
        <f>SUM(H6:H35)</f>
        <v>11</v>
      </c>
      <c r="I36" s="11">
        <f>SUM(I6:I35)</f>
        <v>176</v>
      </c>
      <c r="J36" s="9">
        <f>SUM(J6:J35)</f>
        <v>-187</v>
      </c>
      <c r="K36" s="9">
        <f>SUM(K6:K35)</f>
        <v>0</v>
      </c>
      <c r="L36" s="2"/>
      <c r="M36" s="2"/>
    </row>
    <row r="37" spans="1:16" x14ac:dyDescent="0.3">
      <c r="A37" s="14"/>
      <c r="B37" s="12"/>
    </row>
    <row r="38" spans="1:16" x14ac:dyDescent="0.3">
      <c r="B38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87AC-2F2A-4246-B87D-04D4193D1876}">
  <sheetPr>
    <pageSetUpPr fitToPage="1"/>
  </sheetPr>
  <dimension ref="A1:P39"/>
  <sheetViews>
    <sheetView workbookViewId="0">
      <selection activeCell="Q10" sqref="Q10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3" width="11.42578125" style="1"/>
    <col min="14" max="14" width="11.85546875" style="1" bestFit="1" customWidth="1"/>
    <col min="15" max="15" width="20.140625" style="1" bestFit="1" customWidth="1"/>
    <col min="16" max="16" width="11.85546875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24</v>
      </c>
      <c r="G3" s="2"/>
      <c r="H3" s="52">
        <v>2.0833333333333332E-2</v>
      </c>
      <c r="I3" s="53">
        <v>0.33333333333333331</v>
      </c>
      <c r="J3" s="2"/>
      <c r="K3" s="2"/>
      <c r="N3" s="59">
        <f>J37</f>
        <v>-195.5</v>
      </c>
      <c r="O3" s="59">
        <f>K37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-1759.5</v>
      </c>
      <c r="O5" s="71">
        <f>+O3*O1</f>
        <v>0</v>
      </c>
      <c r="P5" s="71">
        <f>+O5+N5</f>
        <v>-1759.5</v>
      </c>
    </row>
    <row r="6" spans="1:16" x14ac:dyDescent="0.3">
      <c r="A6" s="4" t="s">
        <v>17</v>
      </c>
      <c r="B6" s="23">
        <v>45931</v>
      </c>
      <c r="C6" s="38">
        <v>0</v>
      </c>
      <c r="D6" s="38">
        <v>0</v>
      </c>
      <c r="E6" s="38">
        <v>0</v>
      </c>
      <c r="F6" s="38">
        <v>0</v>
      </c>
      <c r="G6" s="44">
        <f t="shared" ref="G6:G10" si="0">(F6*24-E6*24)+(D6*24-C6*24)</f>
        <v>0</v>
      </c>
      <c r="H6" s="42">
        <f>+$H$3*24</f>
        <v>0.5</v>
      </c>
      <c r="I6" s="42">
        <f>+$I$3*24</f>
        <v>8</v>
      </c>
      <c r="J6" s="42">
        <f>G6-I6-H6</f>
        <v>-8.5</v>
      </c>
      <c r="K6" s="39"/>
      <c r="L6" s="24"/>
      <c r="M6" s="2"/>
    </row>
    <row r="7" spans="1:16" x14ac:dyDescent="0.3">
      <c r="A7" s="4" t="s">
        <v>18</v>
      </c>
      <c r="B7" s="23">
        <v>45932</v>
      </c>
      <c r="C7" s="38">
        <v>0</v>
      </c>
      <c r="D7" s="38">
        <v>0</v>
      </c>
      <c r="E7" s="38">
        <v>0</v>
      </c>
      <c r="F7" s="38">
        <v>0</v>
      </c>
      <c r="G7" s="44">
        <f t="shared" si="0"/>
        <v>0</v>
      </c>
      <c r="H7" s="42">
        <f>+$H$3*24</f>
        <v>0.5</v>
      </c>
      <c r="I7" s="42">
        <f>+$I$3*24</f>
        <v>8</v>
      </c>
      <c r="J7" s="42">
        <f>G7-I7-H7</f>
        <v>-8.5</v>
      </c>
      <c r="K7" s="39"/>
      <c r="L7" s="24"/>
      <c r="M7" s="2"/>
    </row>
    <row r="8" spans="1:16" x14ac:dyDescent="0.3">
      <c r="A8" s="4" t="s">
        <v>12</v>
      </c>
      <c r="B8" s="23">
        <v>45933</v>
      </c>
      <c r="C8" s="38">
        <v>0</v>
      </c>
      <c r="D8" s="38">
        <v>0</v>
      </c>
      <c r="E8" s="38">
        <v>0</v>
      </c>
      <c r="F8" s="38">
        <v>0</v>
      </c>
      <c r="G8" s="44">
        <f t="shared" si="0"/>
        <v>0</v>
      </c>
      <c r="H8" s="42">
        <f>+$H$3*24</f>
        <v>0.5</v>
      </c>
      <c r="I8" s="42">
        <f>+$I$3*24</f>
        <v>8</v>
      </c>
      <c r="J8" s="42">
        <f>G8-I8-H8</f>
        <v>-8.5</v>
      </c>
      <c r="K8" s="39"/>
      <c r="L8" s="24"/>
      <c r="M8" s="2"/>
    </row>
    <row r="9" spans="1:16" s="41" customFormat="1" x14ac:dyDescent="0.3">
      <c r="A9" s="5" t="s">
        <v>13</v>
      </c>
      <c r="B9" s="25">
        <v>45934</v>
      </c>
      <c r="C9" s="37">
        <v>0</v>
      </c>
      <c r="D9" s="37">
        <v>0</v>
      </c>
      <c r="E9" s="37">
        <v>0</v>
      </c>
      <c r="F9" s="37">
        <v>0</v>
      </c>
      <c r="G9" s="43">
        <f t="shared" si="0"/>
        <v>0</v>
      </c>
      <c r="H9" s="43">
        <v>0</v>
      </c>
      <c r="I9" s="43">
        <v>0</v>
      </c>
      <c r="J9" s="18"/>
      <c r="K9" s="18">
        <f t="shared" ref="K9:K10" si="1">G9-I9+H9</f>
        <v>0</v>
      </c>
      <c r="L9" s="22"/>
      <c r="M9" s="40"/>
      <c r="N9" s="58"/>
      <c r="O9" s="58"/>
      <c r="P9" s="58"/>
    </row>
    <row r="10" spans="1:16" s="41" customFormat="1" x14ac:dyDescent="0.3">
      <c r="A10" s="5" t="s">
        <v>14</v>
      </c>
      <c r="B10" s="25">
        <v>45935</v>
      </c>
      <c r="C10" s="37">
        <v>0</v>
      </c>
      <c r="D10" s="37">
        <v>0</v>
      </c>
      <c r="E10" s="37">
        <v>0</v>
      </c>
      <c r="F10" s="37">
        <v>0</v>
      </c>
      <c r="G10" s="43">
        <f t="shared" si="0"/>
        <v>0</v>
      </c>
      <c r="H10" s="43">
        <v>0</v>
      </c>
      <c r="I10" s="43">
        <v>0</v>
      </c>
      <c r="J10" s="18"/>
      <c r="K10" s="18">
        <f t="shared" si="1"/>
        <v>0</v>
      </c>
      <c r="L10" s="22"/>
      <c r="M10" s="40"/>
      <c r="N10" s="58"/>
      <c r="O10" s="58"/>
      <c r="P10" s="58"/>
    </row>
    <row r="11" spans="1:16" x14ac:dyDescent="0.3">
      <c r="A11" s="4" t="s">
        <v>15</v>
      </c>
      <c r="B11" s="23">
        <v>45936</v>
      </c>
      <c r="C11" s="38">
        <v>0</v>
      </c>
      <c r="D11" s="38">
        <v>0</v>
      </c>
      <c r="E11" s="38">
        <v>0</v>
      </c>
      <c r="F11" s="38">
        <v>0</v>
      </c>
      <c r="G11" s="44">
        <f t="shared" ref="G11:G17" si="2">(F11*24-E11*24)+(D11*24-C11*24)</f>
        <v>0</v>
      </c>
      <c r="H11" s="42">
        <f>+$H$3*24</f>
        <v>0.5</v>
      </c>
      <c r="I11" s="42">
        <f>+$I$3*24</f>
        <v>8</v>
      </c>
      <c r="J11" s="42">
        <f>G11-I11-H11</f>
        <v>-8.5</v>
      </c>
      <c r="K11" s="39"/>
      <c r="L11" s="24"/>
      <c r="M11" s="2"/>
      <c r="N11" s="15"/>
      <c r="O11" s="15"/>
      <c r="P11" s="15"/>
    </row>
    <row r="12" spans="1:16" x14ac:dyDescent="0.3">
      <c r="A12" s="4" t="s">
        <v>16</v>
      </c>
      <c r="B12" s="23">
        <v>45937</v>
      </c>
      <c r="C12" s="38">
        <v>0</v>
      </c>
      <c r="D12" s="38">
        <v>0</v>
      </c>
      <c r="E12" s="38">
        <v>0</v>
      </c>
      <c r="F12" s="38">
        <v>0</v>
      </c>
      <c r="G12" s="44">
        <f t="shared" si="2"/>
        <v>0</v>
      </c>
      <c r="H12" s="42">
        <f>+$H$3*24</f>
        <v>0.5</v>
      </c>
      <c r="I12" s="42">
        <f>+$I$3*24</f>
        <v>8</v>
      </c>
      <c r="J12" s="42">
        <f>G12-I12-H12</f>
        <v>-8.5</v>
      </c>
      <c r="K12" s="39"/>
      <c r="L12" s="24"/>
      <c r="M12" s="2"/>
      <c r="N12" s="15"/>
      <c r="O12" s="15"/>
      <c r="P12" s="15"/>
    </row>
    <row r="13" spans="1:16" x14ac:dyDescent="0.3">
      <c r="A13" s="4" t="s">
        <v>17</v>
      </c>
      <c r="B13" s="23">
        <v>45938</v>
      </c>
      <c r="C13" s="38">
        <v>0</v>
      </c>
      <c r="D13" s="38">
        <v>0</v>
      </c>
      <c r="E13" s="38">
        <v>0</v>
      </c>
      <c r="F13" s="38">
        <v>0</v>
      </c>
      <c r="G13" s="44">
        <f t="shared" si="2"/>
        <v>0</v>
      </c>
      <c r="H13" s="42">
        <f>+$H$3*24</f>
        <v>0.5</v>
      </c>
      <c r="I13" s="42">
        <f>+$I$3*24</f>
        <v>8</v>
      </c>
      <c r="J13" s="42">
        <f>G13-I13-H13</f>
        <v>-8.5</v>
      </c>
      <c r="K13" s="39"/>
      <c r="L13" s="24"/>
      <c r="M13" s="2"/>
      <c r="P13" s="16"/>
    </row>
    <row r="14" spans="1:16" x14ac:dyDescent="0.3">
      <c r="A14" s="4" t="s">
        <v>18</v>
      </c>
      <c r="B14" s="23">
        <v>45939</v>
      </c>
      <c r="C14" s="38">
        <v>0</v>
      </c>
      <c r="D14" s="38">
        <v>0</v>
      </c>
      <c r="E14" s="38">
        <v>0</v>
      </c>
      <c r="F14" s="38">
        <v>0</v>
      </c>
      <c r="G14" s="44">
        <f t="shared" si="2"/>
        <v>0</v>
      </c>
      <c r="H14" s="42">
        <f>+$H$3*24</f>
        <v>0.5</v>
      </c>
      <c r="I14" s="42">
        <f>+$I$3*24</f>
        <v>8</v>
      </c>
      <c r="J14" s="42">
        <f>G14-I14-H14</f>
        <v>-8.5</v>
      </c>
      <c r="K14" s="39"/>
      <c r="L14" s="24"/>
      <c r="M14" s="2"/>
    </row>
    <row r="15" spans="1:16" x14ac:dyDescent="0.3">
      <c r="A15" s="4" t="s">
        <v>12</v>
      </c>
      <c r="B15" s="23">
        <v>45940</v>
      </c>
      <c r="C15" s="38">
        <v>0</v>
      </c>
      <c r="D15" s="38">
        <v>0</v>
      </c>
      <c r="E15" s="38">
        <v>0</v>
      </c>
      <c r="F15" s="38">
        <v>0</v>
      </c>
      <c r="G15" s="44">
        <f t="shared" si="2"/>
        <v>0</v>
      </c>
      <c r="H15" s="42">
        <f>+$H$3*24</f>
        <v>0.5</v>
      </c>
      <c r="I15" s="42">
        <f>+$I$3*24</f>
        <v>8</v>
      </c>
      <c r="J15" s="42">
        <f>G15-I15-H15</f>
        <v>-8.5</v>
      </c>
      <c r="K15" s="39"/>
      <c r="L15" s="24"/>
      <c r="M15" s="2"/>
    </row>
    <row r="16" spans="1:16" s="41" customFormat="1" x14ac:dyDescent="0.3">
      <c r="A16" s="5" t="s">
        <v>13</v>
      </c>
      <c r="B16" s="25">
        <v>45941</v>
      </c>
      <c r="C16" s="37">
        <v>0</v>
      </c>
      <c r="D16" s="37">
        <v>0</v>
      </c>
      <c r="E16" s="37">
        <v>0</v>
      </c>
      <c r="F16" s="37">
        <v>0</v>
      </c>
      <c r="G16" s="43">
        <f t="shared" si="2"/>
        <v>0</v>
      </c>
      <c r="H16" s="43">
        <v>0</v>
      </c>
      <c r="I16" s="43">
        <v>0</v>
      </c>
      <c r="J16" s="18"/>
      <c r="K16" s="18">
        <f t="shared" ref="K16:K17" si="3">G16-I16+H16</f>
        <v>0</v>
      </c>
      <c r="L16" s="22"/>
      <c r="M16" s="40"/>
      <c r="N16" s="58"/>
      <c r="O16" s="58"/>
      <c r="P16" s="58"/>
    </row>
    <row r="17" spans="1:16" s="41" customFormat="1" x14ac:dyDescent="0.3">
      <c r="A17" s="5" t="s">
        <v>14</v>
      </c>
      <c r="B17" s="25">
        <v>45942</v>
      </c>
      <c r="C17" s="37">
        <v>0</v>
      </c>
      <c r="D17" s="37">
        <v>0</v>
      </c>
      <c r="E17" s="37">
        <v>0</v>
      </c>
      <c r="F17" s="37">
        <v>0</v>
      </c>
      <c r="G17" s="43">
        <f t="shared" si="2"/>
        <v>0</v>
      </c>
      <c r="H17" s="43">
        <v>0</v>
      </c>
      <c r="I17" s="43">
        <v>0</v>
      </c>
      <c r="J17" s="18"/>
      <c r="K17" s="18">
        <f t="shared" si="3"/>
        <v>0</v>
      </c>
      <c r="L17" s="22"/>
      <c r="M17" s="40"/>
      <c r="N17" s="58"/>
      <c r="O17" s="58"/>
      <c r="P17" s="58"/>
    </row>
    <row r="18" spans="1:16" x14ac:dyDescent="0.3">
      <c r="A18" s="4" t="s">
        <v>15</v>
      </c>
      <c r="B18" s="23">
        <v>45943</v>
      </c>
      <c r="C18" s="38">
        <v>0</v>
      </c>
      <c r="D18" s="38">
        <v>0</v>
      </c>
      <c r="E18" s="38">
        <v>0</v>
      </c>
      <c r="F18" s="38">
        <v>0</v>
      </c>
      <c r="G18" s="44">
        <f t="shared" ref="G18:G24" si="4">(F18*24-E18*24)+(D18*24-C18*24)</f>
        <v>0</v>
      </c>
      <c r="H18" s="42">
        <f>+$H$3*24</f>
        <v>0.5</v>
      </c>
      <c r="I18" s="42">
        <f>+$I$3*24</f>
        <v>8</v>
      </c>
      <c r="J18" s="42">
        <f>G18-I18-H18</f>
        <v>-8.5</v>
      </c>
      <c r="K18" s="39"/>
      <c r="L18" s="24"/>
      <c r="M18" s="2"/>
    </row>
    <row r="19" spans="1:16" x14ac:dyDescent="0.3">
      <c r="A19" s="4" t="s">
        <v>16</v>
      </c>
      <c r="B19" s="23">
        <v>45944</v>
      </c>
      <c r="C19" s="38">
        <v>0</v>
      </c>
      <c r="D19" s="38">
        <v>0</v>
      </c>
      <c r="E19" s="38">
        <v>0</v>
      </c>
      <c r="F19" s="38">
        <v>0</v>
      </c>
      <c r="G19" s="44">
        <f t="shared" si="4"/>
        <v>0</v>
      </c>
      <c r="H19" s="42">
        <f>+$H$3*24</f>
        <v>0.5</v>
      </c>
      <c r="I19" s="42">
        <f>+$I$3*24</f>
        <v>8</v>
      </c>
      <c r="J19" s="42">
        <f>G19-I19-H19</f>
        <v>-8.5</v>
      </c>
      <c r="K19" s="39"/>
      <c r="L19" s="24"/>
      <c r="M19" s="2"/>
    </row>
    <row r="20" spans="1:16" x14ac:dyDescent="0.3">
      <c r="A20" s="4" t="s">
        <v>17</v>
      </c>
      <c r="B20" s="23">
        <v>45945</v>
      </c>
      <c r="C20" s="38">
        <v>0</v>
      </c>
      <c r="D20" s="38">
        <v>0</v>
      </c>
      <c r="E20" s="38">
        <v>0</v>
      </c>
      <c r="F20" s="38">
        <v>0</v>
      </c>
      <c r="G20" s="44">
        <f t="shared" si="4"/>
        <v>0</v>
      </c>
      <c r="H20" s="42">
        <f>+$H$3*24</f>
        <v>0.5</v>
      </c>
      <c r="I20" s="42">
        <f>+$I$3*24</f>
        <v>8</v>
      </c>
      <c r="J20" s="42">
        <f>G20-I20-H20</f>
        <v>-8.5</v>
      </c>
      <c r="K20" s="39"/>
      <c r="L20" s="24"/>
      <c r="M20" s="2"/>
    </row>
    <row r="21" spans="1:16" x14ac:dyDescent="0.3">
      <c r="A21" s="4" t="s">
        <v>18</v>
      </c>
      <c r="B21" s="23">
        <v>45946</v>
      </c>
      <c r="C21" s="38">
        <v>0</v>
      </c>
      <c r="D21" s="38">
        <v>0</v>
      </c>
      <c r="E21" s="38">
        <v>0</v>
      </c>
      <c r="F21" s="38">
        <v>0</v>
      </c>
      <c r="G21" s="44">
        <f t="shared" si="4"/>
        <v>0</v>
      </c>
      <c r="H21" s="42">
        <f>+$H$3*24</f>
        <v>0.5</v>
      </c>
      <c r="I21" s="42">
        <f>+$I$3*24</f>
        <v>8</v>
      </c>
      <c r="J21" s="42">
        <f>G21-I21-H21</f>
        <v>-8.5</v>
      </c>
      <c r="K21" s="39"/>
      <c r="L21" s="24"/>
      <c r="M21" s="2"/>
    </row>
    <row r="22" spans="1:16" x14ac:dyDescent="0.3">
      <c r="A22" s="4" t="s">
        <v>12</v>
      </c>
      <c r="B22" s="23">
        <v>45947</v>
      </c>
      <c r="C22" s="38">
        <v>0</v>
      </c>
      <c r="D22" s="38">
        <v>0</v>
      </c>
      <c r="E22" s="38">
        <v>0</v>
      </c>
      <c r="F22" s="38">
        <v>0</v>
      </c>
      <c r="G22" s="44">
        <f t="shared" si="4"/>
        <v>0</v>
      </c>
      <c r="H22" s="42">
        <f>+$H$3*24</f>
        <v>0.5</v>
      </c>
      <c r="I22" s="42">
        <f>+$I$3*24</f>
        <v>8</v>
      </c>
      <c r="J22" s="42">
        <f>G22-I22-H22</f>
        <v>-8.5</v>
      </c>
      <c r="K22" s="39"/>
      <c r="L22" s="24"/>
      <c r="M22" s="2"/>
    </row>
    <row r="23" spans="1:16" s="41" customFormat="1" x14ac:dyDescent="0.3">
      <c r="A23" s="5" t="s">
        <v>13</v>
      </c>
      <c r="B23" s="25">
        <v>45948</v>
      </c>
      <c r="C23" s="37">
        <v>0</v>
      </c>
      <c r="D23" s="37">
        <v>0</v>
      </c>
      <c r="E23" s="37">
        <v>0</v>
      </c>
      <c r="F23" s="37">
        <v>0</v>
      </c>
      <c r="G23" s="43">
        <f t="shared" si="4"/>
        <v>0</v>
      </c>
      <c r="H23" s="43">
        <v>0</v>
      </c>
      <c r="I23" s="43">
        <v>0</v>
      </c>
      <c r="J23" s="18"/>
      <c r="K23" s="18">
        <f t="shared" ref="K23:K24" si="5">G23-I23+H23</f>
        <v>0</v>
      </c>
      <c r="L23" s="22"/>
      <c r="M23" s="40"/>
      <c r="N23" s="58"/>
      <c r="O23" s="58"/>
      <c r="P23" s="58"/>
    </row>
    <row r="24" spans="1:16" s="41" customFormat="1" x14ac:dyDescent="0.3">
      <c r="A24" s="5" t="s">
        <v>14</v>
      </c>
      <c r="B24" s="25">
        <v>45949</v>
      </c>
      <c r="C24" s="37">
        <v>0</v>
      </c>
      <c r="D24" s="37">
        <v>0</v>
      </c>
      <c r="E24" s="37">
        <v>0</v>
      </c>
      <c r="F24" s="37">
        <v>0</v>
      </c>
      <c r="G24" s="43">
        <f t="shared" si="4"/>
        <v>0</v>
      </c>
      <c r="H24" s="43">
        <v>0</v>
      </c>
      <c r="I24" s="43">
        <v>0</v>
      </c>
      <c r="J24" s="18"/>
      <c r="K24" s="18">
        <f t="shared" si="5"/>
        <v>0</v>
      </c>
      <c r="L24" s="22"/>
      <c r="M24" s="40"/>
      <c r="N24" s="58"/>
      <c r="O24" s="58"/>
      <c r="P24" s="58"/>
    </row>
    <row r="25" spans="1:16" x14ac:dyDescent="0.3">
      <c r="A25" s="4" t="s">
        <v>15</v>
      </c>
      <c r="B25" s="23">
        <v>45950</v>
      </c>
      <c r="C25" s="38">
        <v>0</v>
      </c>
      <c r="D25" s="38">
        <v>0</v>
      </c>
      <c r="E25" s="38">
        <v>0</v>
      </c>
      <c r="F25" s="38">
        <v>0</v>
      </c>
      <c r="G25" s="44">
        <f t="shared" ref="G25:G31" si="6">(F25*24-E25*24)+(D25*24-C25*24)</f>
        <v>0</v>
      </c>
      <c r="H25" s="42">
        <f>+$H$3*24</f>
        <v>0.5</v>
      </c>
      <c r="I25" s="42">
        <f>+$I$3*24</f>
        <v>8</v>
      </c>
      <c r="J25" s="42">
        <f>G25-I25-H25</f>
        <v>-8.5</v>
      </c>
      <c r="K25" s="39"/>
      <c r="L25" s="24"/>
      <c r="M25" s="2"/>
      <c r="N25" s="15"/>
      <c r="O25" s="15"/>
      <c r="P25" s="15"/>
    </row>
    <row r="26" spans="1:16" x14ac:dyDescent="0.3">
      <c r="A26" s="4" t="s">
        <v>16</v>
      </c>
      <c r="B26" s="23">
        <v>45951</v>
      </c>
      <c r="C26" s="38">
        <v>0</v>
      </c>
      <c r="D26" s="38">
        <v>0</v>
      </c>
      <c r="E26" s="38">
        <v>0</v>
      </c>
      <c r="F26" s="38">
        <v>0</v>
      </c>
      <c r="G26" s="44">
        <f t="shared" si="6"/>
        <v>0</v>
      </c>
      <c r="H26" s="42">
        <f>+$H$3*24</f>
        <v>0.5</v>
      </c>
      <c r="I26" s="42">
        <f>+$I$3*24</f>
        <v>8</v>
      </c>
      <c r="J26" s="42">
        <f>G26-I26-H26</f>
        <v>-8.5</v>
      </c>
      <c r="K26" s="39"/>
      <c r="L26" s="24"/>
      <c r="M26" s="2"/>
    </row>
    <row r="27" spans="1:16" x14ac:dyDescent="0.3">
      <c r="A27" s="4" t="s">
        <v>17</v>
      </c>
      <c r="B27" s="23">
        <v>45952</v>
      </c>
      <c r="C27" s="38">
        <v>0</v>
      </c>
      <c r="D27" s="38">
        <v>0</v>
      </c>
      <c r="E27" s="38">
        <v>0</v>
      </c>
      <c r="F27" s="38">
        <v>0</v>
      </c>
      <c r="G27" s="44">
        <f t="shared" si="6"/>
        <v>0</v>
      </c>
      <c r="H27" s="42">
        <f>+$H$3*24</f>
        <v>0.5</v>
      </c>
      <c r="I27" s="42">
        <f>+$I$3*24</f>
        <v>8</v>
      </c>
      <c r="J27" s="42">
        <f>G27-I27-H27</f>
        <v>-8.5</v>
      </c>
      <c r="K27" s="39"/>
      <c r="L27" s="24"/>
      <c r="M27" s="2"/>
    </row>
    <row r="28" spans="1:16" x14ac:dyDescent="0.3">
      <c r="A28" s="4" t="s">
        <v>18</v>
      </c>
      <c r="B28" s="23">
        <v>45953</v>
      </c>
      <c r="C28" s="38">
        <v>0</v>
      </c>
      <c r="D28" s="38">
        <v>0</v>
      </c>
      <c r="E28" s="38">
        <v>0</v>
      </c>
      <c r="F28" s="38">
        <v>0</v>
      </c>
      <c r="G28" s="44">
        <f t="shared" si="6"/>
        <v>0</v>
      </c>
      <c r="H28" s="42">
        <f>+$H$3*24</f>
        <v>0.5</v>
      </c>
      <c r="I28" s="42">
        <f>+$I$3*24</f>
        <v>8</v>
      </c>
      <c r="J28" s="42">
        <f>G28-I28-H28</f>
        <v>-8.5</v>
      </c>
      <c r="K28" s="39"/>
      <c r="L28" s="24"/>
      <c r="M28" s="2"/>
    </row>
    <row r="29" spans="1:16" x14ac:dyDescent="0.3">
      <c r="A29" s="4" t="s">
        <v>12</v>
      </c>
      <c r="B29" s="23">
        <v>45954</v>
      </c>
      <c r="C29" s="38">
        <v>0</v>
      </c>
      <c r="D29" s="38">
        <v>0</v>
      </c>
      <c r="E29" s="38">
        <v>0</v>
      </c>
      <c r="F29" s="38">
        <v>0</v>
      </c>
      <c r="G29" s="44">
        <f t="shared" si="6"/>
        <v>0</v>
      </c>
      <c r="H29" s="42">
        <f>+$H$3*24</f>
        <v>0.5</v>
      </c>
      <c r="I29" s="42">
        <f>+$I$3*24</f>
        <v>8</v>
      </c>
      <c r="J29" s="42">
        <f>G29-I29-H29</f>
        <v>-8.5</v>
      </c>
      <c r="K29" s="39"/>
      <c r="L29" s="24"/>
      <c r="M29" s="2"/>
    </row>
    <row r="30" spans="1:16" s="41" customFormat="1" x14ac:dyDescent="0.3">
      <c r="A30" s="5" t="s">
        <v>13</v>
      </c>
      <c r="B30" s="25">
        <v>45955</v>
      </c>
      <c r="C30" s="37">
        <v>0</v>
      </c>
      <c r="D30" s="37">
        <v>0</v>
      </c>
      <c r="E30" s="37">
        <v>0</v>
      </c>
      <c r="F30" s="37">
        <v>0</v>
      </c>
      <c r="G30" s="43">
        <f t="shared" si="6"/>
        <v>0</v>
      </c>
      <c r="H30" s="43">
        <v>0</v>
      </c>
      <c r="I30" s="43">
        <v>0</v>
      </c>
      <c r="J30" s="18"/>
      <c r="K30" s="18">
        <f t="shared" ref="K30:K31" si="7">G30-I30+H30</f>
        <v>0</v>
      </c>
      <c r="L30" s="22"/>
      <c r="M30" s="40"/>
      <c r="N30" s="58"/>
      <c r="O30" s="58"/>
      <c r="P30" s="58"/>
    </row>
    <row r="31" spans="1:16" s="41" customFormat="1" x14ac:dyDescent="0.3">
      <c r="A31" s="5" t="s">
        <v>14</v>
      </c>
      <c r="B31" s="25">
        <v>45956</v>
      </c>
      <c r="C31" s="37">
        <v>0</v>
      </c>
      <c r="D31" s="37">
        <v>0</v>
      </c>
      <c r="E31" s="37">
        <v>0</v>
      </c>
      <c r="F31" s="37">
        <v>0</v>
      </c>
      <c r="G31" s="43">
        <f t="shared" si="6"/>
        <v>0</v>
      </c>
      <c r="H31" s="43">
        <v>0</v>
      </c>
      <c r="I31" s="43">
        <v>0</v>
      </c>
      <c r="J31" s="18"/>
      <c r="K31" s="18">
        <f t="shared" si="7"/>
        <v>0</v>
      </c>
      <c r="L31" s="22"/>
      <c r="M31" s="40"/>
      <c r="N31" s="58"/>
      <c r="O31" s="58"/>
      <c r="P31" s="58"/>
    </row>
    <row r="32" spans="1:16" x14ac:dyDescent="0.3">
      <c r="A32" s="4" t="s">
        <v>15</v>
      </c>
      <c r="B32" s="23">
        <v>45957</v>
      </c>
      <c r="C32" s="38">
        <v>0</v>
      </c>
      <c r="D32" s="38">
        <v>0</v>
      </c>
      <c r="E32" s="38">
        <v>0</v>
      </c>
      <c r="F32" s="38">
        <v>0</v>
      </c>
      <c r="G32" s="44">
        <f t="shared" ref="G32:G36" si="8">(F32*24-E32*24)+(D32*24-C32*24)</f>
        <v>0</v>
      </c>
      <c r="H32" s="42">
        <f>+$H$3*24</f>
        <v>0.5</v>
      </c>
      <c r="I32" s="42">
        <f>+$I$3*24</f>
        <v>8</v>
      </c>
      <c r="J32" s="42">
        <f>G32-I32-H32</f>
        <v>-8.5</v>
      </c>
      <c r="K32" s="39"/>
      <c r="L32" s="24"/>
      <c r="M32" s="2"/>
    </row>
    <row r="33" spans="1:13" x14ac:dyDescent="0.3">
      <c r="A33" s="4" t="s">
        <v>16</v>
      </c>
      <c r="B33" s="23">
        <v>45958</v>
      </c>
      <c r="C33" s="38">
        <v>0</v>
      </c>
      <c r="D33" s="38">
        <v>0</v>
      </c>
      <c r="E33" s="38">
        <v>0</v>
      </c>
      <c r="F33" s="38">
        <v>0</v>
      </c>
      <c r="G33" s="44">
        <f t="shared" si="8"/>
        <v>0</v>
      </c>
      <c r="H33" s="42">
        <f>+$H$3*24</f>
        <v>0.5</v>
      </c>
      <c r="I33" s="42">
        <f>+$I$3*24</f>
        <v>8</v>
      </c>
      <c r="J33" s="42">
        <f>G33-I33-H33</f>
        <v>-8.5</v>
      </c>
      <c r="K33" s="39"/>
      <c r="L33" s="24"/>
      <c r="M33" s="2"/>
    </row>
    <row r="34" spans="1:13" x14ac:dyDescent="0.3">
      <c r="A34" s="4" t="s">
        <v>17</v>
      </c>
      <c r="B34" s="23">
        <v>45959</v>
      </c>
      <c r="C34" s="38">
        <v>0</v>
      </c>
      <c r="D34" s="38">
        <v>0</v>
      </c>
      <c r="E34" s="38">
        <v>0</v>
      </c>
      <c r="F34" s="38">
        <v>0</v>
      </c>
      <c r="G34" s="44">
        <f t="shared" si="8"/>
        <v>0</v>
      </c>
      <c r="H34" s="42">
        <f>+$H$3*24</f>
        <v>0.5</v>
      </c>
      <c r="I34" s="42">
        <f>+$I$3*24</f>
        <v>8</v>
      </c>
      <c r="J34" s="42">
        <f>G34-I34-H34</f>
        <v>-8.5</v>
      </c>
      <c r="K34" s="39"/>
      <c r="L34" s="24"/>
      <c r="M34" s="2"/>
    </row>
    <row r="35" spans="1:13" x14ac:dyDescent="0.3">
      <c r="A35" s="4" t="s">
        <v>18</v>
      </c>
      <c r="B35" s="23">
        <v>45960</v>
      </c>
      <c r="C35" s="38">
        <v>0</v>
      </c>
      <c r="D35" s="38">
        <v>0</v>
      </c>
      <c r="E35" s="38">
        <v>0</v>
      </c>
      <c r="F35" s="38">
        <v>0</v>
      </c>
      <c r="G35" s="44">
        <f t="shared" si="8"/>
        <v>0</v>
      </c>
      <c r="H35" s="42">
        <f>+$H$3*24</f>
        <v>0.5</v>
      </c>
      <c r="I35" s="42">
        <f>+$I$3*24</f>
        <v>8</v>
      </c>
      <c r="J35" s="42">
        <f>G35-I35-H35</f>
        <v>-8.5</v>
      </c>
      <c r="K35" s="39"/>
      <c r="L35" s="24"/>
      <c r="M35" s="2"/>
    </row>
    <row r="36" spans="1:13" ht="17.25" thickBot="1" x14ac:dyDescent="0.35">
      <c r="A36" s="4" t="s">
        <v>12</v>
      </c>
      <c r="B36" s="27">
        <v>45961</v>
      </c>
      <c r="C36" s="47">
        <v>0</v>
      </c>
      <c r="D36" s="47">
        <v>0</v>
      </c>
      <c r="E36" s="47">
        <v>0</v>
      </c>
      <c r="F36" s="47">
        <v>0</v>
      </c>
      <c r="G36" s="48">
        <f t="shared" si="8"/>
        <v>0</v>
      </c>
      <c r="H36" s="49">
        <f>+$H$3*24</f>
        <v>0.5</v>
      </c>
      <c r="I36" s="49">
        <f>+$I$3*24</f>
        <v>8</v>
      </c>
      <c r="J36" s="49">
        <f>G36-I36-H36</f>
        <v>-8.5</v>
      </c>
      <c r="K36" s="50"/>
      <c r="L36" s="28"/>
      <c r="M36" s="2"/>
    </row>
    <row r="37" spans="1:13" x14ac:dyDescent="0.3">
      <c r="A37" s="13"/>
      <c r="B37" s="12"/>
      <c r="C37" s="2"/>
      <c r="D37" s="2"/>
      <c r="E37" s="2"/>
      <c r="F37" s="8"/>
      <c r="G37" s="9">
        <f>SUM(G6:G36)</f>
        <v>0</v>
      </c>
      <c r="H37" s="10">
        <f>SUM(H6:H36)</f>
        <v>11.5</v>
      </c>
      <c r="I37" s="11">
        <f>SUM(I6:I36)</f>
        <v>184</v>
      </c>
      <c r="J37" s="9">
        <f>SUM(J6:J36)</f>
        <v>-195.5</v>
      </c>
      <c r="K37" s="9">
        <f>SUM(K6:K36)</f>
        <v>0</v>
      </c>
      <c r="L37" s="2"/>
      <c r="M37" s="2"/>
    </row>
    <row r="38" spans="1:13" x14ac:dyDescent="0.3">
      <c r="A38" s="14"/>
      <c r="B38" s="12"/>
    </row>
    <row r="39" spans="1:13" x14ac:dyDescent="0.3">
      <c r="B39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D963-2821-4A89-A63B-9117F3A14AB0}">
  <sheetPr>
    <pageSetUpPr fitToPage="1"/>
  </sheetPr>
  <dimension ref="A1:P38"/>
  <sheetViews>
    <sheetView workbookViewId="0">
      <selection activeCell="Q10" sqref="Q10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3" width="11.42578125" style="1"/>
    <col min="14" max="14" width="11.85546875" style="1" bestFit="1" customWidth="1"/>
    <col min="15" max="15" width="20.140625" style="1" bestFit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23</v>
      </c>
      <c r="G3" s="2"/>
      <c r="H3" s="52">
        <v>2.0833333333333332E-2</v>
      </c>
      <c r="I3" s="53">
        <v>0.33333333333333331</v>
      </c>
      <c r="J3" s="2"/>
      <c r="K3" s="2"/>
      <c r="N3" s="59">
        <f>J36</f>
        <v>-170</v>
      </c>
      <c r="O3" s="59">
        <f>K36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-1530</v>
      </c>
      <c r="O5" s="71">
        <f>+O3*O1</f>
        <v>0</v>
      </c>
      <c r="P5" s="71">
        <f>+O5+N5</f>
        <v>-1530</v>
      </c>
    </row>
    <row r="6" spans="1:16" s="41" customFormat="1" x14ac:dyDescent="0.3">
      <c r="A6" s="5" t="s">
        <v>13</v>
      </c>
      <c r="B6" s="25">
        <v>45962</v>
      </c>
      <c r="C6" s="37">
        <v>0</v>
      </c>
      <c r="D6" s="37">
        <v>0</v>
      </c>
      <c r="E6" s="37">
        <v>0</v>
      </c>
      <c r="F6" s="37">
        <v>0</v>
      </c>
      <c r="G6" s="43">
        <f t="shared" ref="G6:G7" si="0">(F6*24-E6*24)+(D6*24-C6*24)</f>
        <v>0</v>
      </c>
      <c r="H6" s="43">
        <v>0</v>
      </c>
      <c r="I6" s="43">
        <v>0</v>
      </c>
      <c r="J6" s="18"/>
      <c r="K6" s="18">
        <f t="shared" ref="K6:K7" si="1">G6-I6+H6</f>
        <v>0</v>
      </c>
      <c r="L6" s="22"/>
      <c r="M6" s="40"/>
      <c r="N6" s="58"/>
      <c r="O6" s="58"/>
      <c r="P6" s="58"/>
    </row>
    <row r="7" spans="1:16" s="41" customFormat="1" x14ac:dyDescent="0.3">
      <c r="A7" s="5" t="s">
        <v>14</v>
      </c>
      <c r="B7" s="25">
        <v>45963</v>
      </c>
      <c r="C7" s="37">
        <v>0</v>
      </c>
      <c r="D7" s="37">
        <v>0</v>
      </c>
      <c r="E7" s="37">
        <v>0</v>
      </c>
      <c r="F7" s="37">
        <v>0</v>
      </c>
      <c r="G7" s="43">
        <f t="shared" si="0"/>
        <v>0</v>
      </c>
      <c r="H7" s="43">
        <v>0</v>
      </c>
      <c r="I7" s="43">
        <v>0</v>
      </c>
      <c r="J7" s="18"/>
      <c r="K7" s="18">
        <f t="shared" si="1"/>
        <v>0</v>
      </c>
      <c r="L7" s="22"/>
      <c r="M7" s="40"/>
      <c r="N7" s="58"/>
      <c r="O7" s="58"/>
      <c r="P7" s="58"/>
    </row>
    <row r="8" spans="1:16" x14ac:dyDescent="0.3">
      <c r="A8" s="4" t="s">
        <v>15</v>
      </c>
      <c r="B8" s="23">
        <v>45964</v>
      </c>
      <c r="C8" s="38">
        <v>0</v>
      </c>
      <c r="D8" s="38">
        <v>0</v>
      </c>
      <c r="E8" s="38">
        <v>0</v>
      </c>
      <c r="F8" s="38">
        <v>0</v>
      </c>
      <c r="G8" s="44">
        <f t="shared" ref="G8:G14" si="2">(F8*24-E8*24)+(D8*24-C8*24)</f>
        <v>0</v>
      </c>
      <c r="H8" s="42">
        <f>+$H$3*24</f>
        <v>0.5</v>
      </c>
      <c r="I8" s="42">
        <f>+$I$3*24</f>
        <v>8</v>
      </c>
      <c r="J8" s="42">
        <f>G8-I8-H8</f>
        <v>-8.5</v>
      </c>
      <c r="K8" s="39"/>
      <c r="L8" s="24"/>
      <c r="M8" s="2"/>
      <c r="N8" s="15"/>
      <c r="O8" s="15"/>
      <c r="P8" s="15"/>
    </row>
    <row r="9" spans="1:16" x14ac:dyDescent="0.3">
      <c r="A9" s="4" t="s">
        <v>16</v>
      </c>
      <c r="B9" s="23">
        <v>45965</v>
      </c>
      <c r="C9" s="38">
        <v>0</v>
      </c>
      <c r="D9" s="38">
        <v>0</v>
      </c>
      <c r="E9" s="38">
        <v>0</v>
      </c>
      <c r="F9" s="38">
        <v>0</v>
      </c>
      <c r="G9" s="44">
        <f t="shared" si="2"/>
        <v>0</v>
      </c>
      <c r="H9" s="42">
        <f>+$H$3*24</f>
        <v>0.5</v>
      </c>
      <c r="I9" s="42">
        <f>+$I$3*24</f>
        <v>8</v>
      </c>
      <c r="J9" s="42">
        <f>G9-I9-H9</f>
        <v>-8.5</v>
      </c>
      <c r="K9" s="39"/>
      <c r="L9" s="24"/>
      <c r="M9" s="2"/>
      <c r="N9" s="15"/>
      <c r="O9" s="15"/>
      <c r="P9" s="15"/>
    </row>
    <row r="10" spans="1:16" x14ac:dyDescent="0.3">
      <c r="A10" s="4" t="s">
        <v>17</v>
      </c>
      <c r="B10" s="23">
        <v>45966</v>
      </c>
      <c r="C10" s="38">
        <v>0</v>
      </c>
      <c r="D10" s="38">
        <v>0</v>
      </c>
      <c r="E10" s="38">
        <v>0</v>
      </c>
      <c r="F10" s="38">
        <v>0</v>
      </c>
      <c r="G10" s="44">
        <f t="shared" si="2"/>
        <v>0</v>
      </c>
      <c r="H10" s="42">
        <f>+$H$3*24</f>
        <v>0.5</v>
      </c>
      <c r="I10" s="42">
        <f>+$I$3*24</f>
        <v>8</v>
      </c>
      <c r="J10" s="42">
        <f>G10-I10-H10</f>
        <v>-8.5</v>
      </c>
      <c r="K10" s="39"/>
      <c r="L10" s="24"/>
      <c r="M10" s="2"/>
      <c r="P10" s="16"/>
    </row>
    <row r="11" spans="1:16" x14ac:dyDescent="0.3">
      <c r="A11" s="4" t="s">
        <v>18</v>
      </c>
      <c r="B11" s="23">
        <v>45967</v>
      </c>
      <c r="C11" s="38">
        <v>0</v>
      </c>
      <c r="D11" s="38">
        <v>0</v>
      </c>
      <c r="E11" s="38">
        <v>0</v>
      </c>
      <c r="F11" s="38">
        <v>0</v>
      </c>
      <c r="G11" s="44">
        <f t="shared" si="2"/>
        <v>0</v>
      </c>
      <c r="H11" s="42">
        <f>+$H$3*24</f>
        <v>0.5</v>
      </c>
      <c r="I11" s="42">
        <f>+$I$3*24</f>
        <v>8</v>
      </c>
      <c r="J11" s="42">
        <f>G11-I11-H11</f>
        <v>-8.5</v>
      </c>
      <c r="K11" s="39"/>
      <c r="L11" s="24"/>
      <c r="M11" s="2"/>
    </row>
    <row r="12" spans="1:16" x14ac:dyDescent="0.3">
      <c r="A12" s="4" t="s">
        <v>12</v>
      </c>
      <c r="B12" s="23">
        <v>45968</v>
      </c>
      <c r="C12" s="38">
        <v>0</v>
      </c>
      <c r="D12" s="38">
        <v>0</v>
      </c>
      <c r="E12" s="38">
        <v>0</v>
      </c>
      <c r="F12" s="38">
        <v>0</v>
      </c>
      <c r="G12" s="44">
        <f t="shared" si="2"/>
        <v>0</v>
      </c>
      <c r="H12" s="42">
        <f>+$H$3*24</f>
        <v>0.5</v>
      </c>
      <c r="I12" s="42">
        <f>+$I$3*24</f>
        <v>8</v>
      </c>
      <c r="J12" s="42">
        <f>G12-I12-H12</f>
        <v>-8.5</v>
      </c>
      <c r="K12" s="39"/>
      <c r="L12" s="24"/>
      <c r="M12" s="2"/>
    </row>
    <row r="13" spans="1:16" s="41" customFormat="1" x14ac:dyDescent="0.3">
      <c r="A13" s="5" t="s">
        <v>13</v>
      </c>
      <c r="B13" s="25">
        <v>45969</v>
      </c>
      <c r="C13" s="37">
        <v>0</v>
      </c>
      <c r="D13" s="37">
        <v>0</v>
      </c>
      <c r="E13" s="37">
        <v>0</v>
      </c>
      <c r="F13" s="37">
        <v>0</v>
      </c>
      <c r="G13" s="43">
        <f t="shared" si="2"/>
        <v>0</v>
      </c>
      <c r="H13" s="43">
        <v>0</v>
      </c>
      <c r="I13" s="43">
        <v>0</v>
      </c>
      <c r="J13" s="18"/>
      <c r="K13" s="18">
        <f t="shared" ref="K13:K14" si="3">G13-I13+H13</f>
        <v>0</v>
      </c>
      <c r="L13" s="22"/>
      <c r="M13" s="40"/>
      <c r="N13" s="58"/>
      <c r="O13" s="58"/>
      <c r="P13" s="58"/>
    </row>
    <row r="14" spans="1:16" s="41" customFormat="1" x14ac:dyDescent="0.3">
      <c r="A14" s="5" t="s">
        <v>14</v>
      </c>
      <c r="B14" s="25">
        <v>45970</v>
      </c>
      <c r="C14" s="37">
        <v>0</v>
      </c>
      <c r="D14" s="37">
        <v>0</v>
      </c>
      <c r="E14" s="37">
        <v>0</v>
      </c>
      <c r="F14" s="37">
        <v>0</v>
      </c>
      <c r="G14" s="43">
        <f t="shared" si="2"/>
        <v>0</v>
      </c>
      <c r="H14" s="43">
        <v>0</v>
      </c>
      <c r="I14" s="43">
        <v>0</v>
      </c>
      <c r="J14" s="18"/>
      <c r="K14" s="18">
        <f t="shared" si="3"/>
        <v>0</v>
      </c>
      <c r="L14" s="22"/>
      <c r="M14" s="40"/>
      <c r="N14" s="58"/>
      <c r="O14" s="58"/>
      <c r="P14" s="58"/>
    </row>
    <row r="15" spans="1:16" x14ac:dyDescent="0.3">
      <c r="A15" s="4" t="s">
        <v>15</v>
      </c>
      <c r="B15" s="23">
        <v>45971</v>
      </c>
      <c r="C15" s="38">
        <v>0</v>
      </c>
      <c r="D15" s="38">
        <v>0</v>
      </c>
      <c r="E15" s="38">
        <v>0</v>
      </c>
      <c r="F15" s="38">
        <v>0</v>
      </c>
      <c r="G15" s="44">
        <f t="shared" ref="G15:G21" si="4">(F15*24-E15*24)+(D15*24-C15*24)</f>
        <v>0</v>
      </c>
      <c r="H15" s="42">
        <f>+$H$3*24</f>
        <v>0.5</v>
      </c>
      <c r="I15" s="42">
        <f>+$I$3*24</f>
        <v>8</v>
      </c>
      <c r="J15" s="42">
        <f>G15-I15-H15</f>
        <v>-8.5</v>
      </c>
      <c r="K15" s="39"/>
      <c r="L15" s="24"/>
      <c r="M15" s="2"/>
    </row>
    <row r="16" spans="1:16" x14ac:dyDescent="0.3">
      <c r="A16" s="4" t="s">
        <v>16</v>
      </c>
      <c r="B16" s="23">
        <v>45972</v>
      </c>
      <c r="C16" s="38">
        <v>0</v>
      </c>
      <c r="D16" s="38">
        <v>0</v>
      </c>
      <c r="E16" s="38">
        <v>0</v>
      </c>
      <c r="F16" s="38">
        <v>0</v>
      </c>
      <c r="G16" s="44">
        <f t="shared" si="4"/>
        <v>0</v>
      </c>
      <c r="H16" s="42">
        <f>+$H$3*24</f>
        <v>0.5</v>
      </c>
      <c r="I16" s="42">
        <f>+$I$3*24</f>
        <v>8</v>
      </c>
      <c r="J16" s="42">
        <f>G16-I16-H16</f>
        <v>-8.5</v>
      </c>
      <c r="K16" s="39"/>
      <c r="L16" s="24"/>
      <c r="M16" s="2"/>
    </row>
    <row r="17" spans="1:16" x14ac:dyDescent="0.3">
      <c r="A17" s="4" t="s">
        <v>17</v>
      </c>
      <c r="B17" s="23">
        <v>45973</v>
      </c>
      <c r="C17" s="38">
        <v>0</v>
      </c>
      <c r="D17" s="38">
        <v>0</v>
      </c>
      <c r="E17" s="38">
        <v>0</v>
      </c>
      <c r="F17" s="38">
        <v>0</v>
      </c>
      <c r="G17" s="44">
        <f t="shared" si="4"/>
        <v>0</v>
      </c>
      <c r="H17" s="42">
        <f>+$H$3*24</f>
        <v>0.5</v>
      </c>
      <c r="I17" s="42">
        <f>+$I$3*24</f>
        <v>8</v>
      </c>
      <c r="J17" s="42">
        <f>G17-I17-H17</f>
        <v>-8.5</v>
      </c>
      <c r="K17" s="39"/>
      <c r="L17" s="24"/>
      <c r="M17" s="2"/>
    </row>
    <row r="18" spans="1:16" x14ac:dyDescent="0.3">
      <c r="A18" s="4" t="s">
        <v>18</v>
      </c>
      <c r="B18" s="23">
        <v>45974</v>
      </c>
      <c r="C18" s="38">
        <v>0</v>
      </c>
      <c r="D18" s="38">
        <v>0</v>
      </c>
      <c r="E18" s="38">
        <v>0</v>
      </c>
      <c r="F18" s="38">
        <v>0</v>
      </c>
      <c r="G18" s="44">
        <f t="shared" si="4"/>
        <v>0</v>
      </c>
      <c r="H18" s="42">
        <f>+$H$3*24</f>
        <v>0.5</v>
      </c>
      <c r="I18" s="42">
        <f>+$I$3*24</f>
        <v>8</v>
      </c>
      <c r="J18" s="42">
        <f>G18-I18-H18</f>
        <v>-8.5</v>
      </c>
      <c r="K18" s="39"/>
      <c r="L18" s="24"/>
      <c r="M18" s="2"/>
    </row>
    <row r="19" spans="1:16" x14ac:dyDescent="0.3">
      <c r="A19" s="4" t="s">
        <v>12</v>
      </c>
      <c r="B19" s="23">
        <v>45975</v>
      </c>
      <c r="C19" s="38">
        <v>0</v>
      </c>
      <c r="D19" s="38">
        <v>0</v>
      </c>
      <c r="E19" s="38">
        <v>0</v>
      </c>
      <c r="F19" s="38">
        <v>0</v>
      </c>
      <c r="G19" s="44">
        <f t="shared" si="4"/>
        <v>0</v>
      </c>
      <c r="H19" s="42">
        <f>+$H$3*24</f>
        <v>0.5</v>
      </c>
      <c r="I19" s="42">
        <f>+$I$3*24</f>
        <v>8</v>
      </c>
      <c r="J19" s="42">
        <f>G19-I19-H19</f>
        <v>-8.5</v>
      </c>
      <c r="K19" s="39"/>
      <c r="L19" s="24"/>
      <c r="M19" s="2"/>
    </row>
    <row r="20" spans="1:16" s="41" customFormat="1" x14ac:dyDescent="0.3">
      <c r="A20" s="5" t="s">
        <v>13</v>
      </c>
      <c r="B20" s="25">
        <v>45976</v>
      </c>
      <c r="C20" s="37">
        <v>0</v>
      </c>
      <c r="D20" s="37">
        <v>0</v>
      </c>
      <c r="E20" s="37">
        <v>0</v>
      </c>
      <c r="F20" s="37">
        <v>0</v>
      </c>
      <c r="G20" s="43">
        <f t="shared" si="4"/>
        <v>0</v>
      </c>
      <c r="H20" s="43">
        <v>0</v>
      </c>
      <c r="I20" s="43">
        <v>0</v>
      </c>
      <c r="J20" s="18"/>
      <c r="K20" s="18">
        <f t="shared" ref="K20:K21" si="5">G20-I20+H20</f>
        <v>0</v>
      </c>
      <c r="L20" s="22"/>
      <c r="M20" s="40"/>
      <c r="N20" s="58"/>
      <c r="O20" s="58"/>
      <c r="P20" s="58"/>
    </row>
    <row r="21" spans="1:16" s="41" customFormat="1" x14ac:dyDescent="0.3">
      <c r="A21" s="5" t="s">
        <v>14</v>
      </c>
      <c r="B21" s="25">
        <v>45977</v>
      </c>
      <c r="C21" s="37">
        <v>0</v>
      </c>
      <c r="D21" s="37">
        <v>0</v>
      </c>
      <c r="E21" s="37">
        <v>0</v>
      </c>
      <c r="F21" s="37">
        <v>0</v>
      </c>
      <c r="G21" s="43">
        <f t="shared" si="4"/>
        <v>0</v>
      </c>
      <c r="H21" s="43">
        <v>0</v>
      </c>
      <c r="I21" s="43">
        <v>0</v>
      </c>
      <c r="J21" s="18"/>
      <c r="K21" s="18">
        <f t="shared" si="5"/>
        <v>0</v>
      </c>
      <c r="L21" s="22"/>
      <c r="M21" s="40"/>
      <c r="N21" s="58"/>
      <c r="O21" s="58"/>
      <c r="P21" s="58"/>
    </row>
    <row r="22" spans="1:16" x14ac:dyDescent="0.3">
      <c r="A22" s="4" t="s">
        <v>15</v>
      </c>
      <c r="B22" s="23">
        <v>45978</v>
      </c>
      <c r="C22" s="38">
        <v>0</v>
      </c>
      <c r="D22" s="38">
        <v>0</v>
      </c>
      <c r="E22" s="38">
        <v>0</v>
      </c>
      <c r="F22" s="38">
        <v>0</v>
      </c>
      <c r="G22" s="44">
        <f t="shared" ref="G22:G28" si="6">(F22*24-E22*24)+(D22*24-C22*24)</f>
        <v>0</v>
      </c>
      <c r="H22" s="42">
        <f>+$H$3*24</f>
        <v>0.5</v>
      </c>
      <c r="I22" s="42">
        <f>+$I$3*24</f>
        <v>8</v>
      </c>
      <c r="J22" s="42">
        <f>G22-I22-H22</f>
        <v>-8.5</v>
      </c>
      <c r="K22" s="39"/>
      <c r="L22" s="24"/>
      <c r="M22" s="2"/>
    </row>
    <row r="23" spans="1:16" x14ac:dyDescent="0.3">
      <c r="A23" s="4" t="s">
        <v>16</v>
      </c>
      <c r="B23" s="23">
        <v>45979</v>
      </c>
      <c r="C23" s="38">
        <v>0</v>
      </c>
      <c r="D23" s="38">
        <v>0</v>
      </c>
      <c r="E23" s="38">
        <v>0</v>
      </c>
      <c r="F23" s="38">
        <v>0</v>
      </c>
      <c r="G23" s="44">
        <f t="shared" si="6"/>
        <v>0</v>
      </c>
      <c r="H23" s="42">
        <f>+$H$3*24</f>
        <v>0.5</v>
      </c>
      <c r="I23" s="42">
        <f>+$I$3*24</f>
        <v>8</v>
      </c>
      <c r="J23" s="42">
        <f>G23-I23-H23</f>
        <v>-8.5</v>
      </c>
      <c r="K23" s="39"/>
      <c r="L23" s="24"/>
      <c r="M23" s="2"/>
    </row>
    <row r="24" spans="1:16" x14ac:dyDescent="0.3">
      <c r="A24" s="4" t="s">
        <v>17</v>
      </c>
      <c r="B24" s="23">
        <v>45980</v>
      </c>
      <c r="C24" s="38">
        <v>0</v>
      </c>
      <c r="D24" s="38">
        <v>0</v>
      </c>
      <c r="E24" s="38">
        <v>0</v>
      </c>
      <c r="F24" s="38">
        <v>0</v>
      </c>
      <c r="G24" s="44">
        <f t="shared" si="6"/>
        <v>0</v>
      </c>
      <c r="H24" s="42">
        <f>+$H$3*24</f>
        <v>0.5</v>
      </c>
      <c r="I24" s="42">
        <f>+$I$3*24</f>
        <v>8</v>
      </c>
      <c r="J24" s="42">
        <f>G24-I24-H24</f>
        <v>-8.5</v>
      </c>
      <c r="K24" s="39"/>
      <c r="L24" s="24"/>
      <c r="M24" s="2"/>
    </row>
    <row r="25" spans="1:16" x14ac:dyDescent="0.3">
      <c r="A25" s="4" t="s">
        <v>18</v>
      </c>
      <c r="B25" s="23">
        <v>45981</v>
      </c>
      <c r="C25" s="38">
        <v>0</v>
      </c>
      <c r="D25" s="38">
        <v>0</v>
      </c>
      <c r="E25" s="38">
        <v>0</v>
      </c>
      <c r="F25" s="38">
        <v>0</v>
      </c>
      <c r="G25" s="44">
        <f t="shared" si="6"/>
        <v>0</v>
      </c>
      <c r="H25" s="42">
        <f>+$H$3*24</f>
        <v>0.5</v>
      </c>
      <c r="I25" s="42">
        <f>+$I$3*24</f>
        <v>8</v>
      </c>
      <c r="J25" s="42">
        <f>G25-I25-H25</f>
        <v>-8.5</v>
      </c>
      <c r="K25" s="39"/>
      <c r="L25" s="24"/>
      <c r="M25" s="2"/>
    </row>
    <row r="26" spans="1:16" x14ac:dyDescent="0.3">
      <c r="A26" s="4" t="s">
        <v>12</v>
      </c>
      <c r="B26" s="23">
        <v>45982</v>
      </c>
      <c r="C26" s="38">
        <v>0</v>
      </c>
      <c r="D26" s="38">
        <v>0</v>
      </c>
      <c r="E26" s="38">
        <v>0</v>
      </c>
      <c r="F26" s="38">
        <v>0</v>
      </c>
      <c r="G26" s="44">
        <f t="shared" si="6"/>
        <v>0</v>
      </c>
      <c r="H26" s="42">
        <f>+$H$3*24</f>
        <v>0.5</v>
      </c>
      <c r="I26" s="42">
        <f>+$I$3*24</f>
        <v>8</v>
      </c>
      <c r="J26" s="42">
        <f>G26-I26-H26</f>
        <v>-8.5</v>
      </c>
      <c r="K26" s="39"/>
      <c r="L26" s="24"/>
      <c r="M26" s="2"/>
    </row>
    <row r="27" spans="1:16" s="41" customFormat="1" x14ac:dyDescent="0.3">
      <c r="A27" s="5" t="s">
        <v>13</v>
      </c>
      <c r="B27" s="25">
        <v>45983</v>
      </c>
      <c r="C27" s="37">
        <v>0</v>
      </c>
      <c r="D27" s="37">
        <v>0</v>
      </c>
      <c r="E27" s="37">
        <v>0</v>
      </c>
      <c r="F27" s="37">
        <v>0</v>
      </c>
      <c r="G27" s="43">
        <f t="shared" si="6"/>
        <v>0</v>
      </c>
      <c r="H27" s="43">
        <v>0</v>
      </c>
      <c r="I27" s="43">
        <v>0</v>
      </c>
      <c r="J27" s="18"/>
      <c r="K27" s="18">
        <f t="shared" ref="K27:K28" si="7">G27-I27+H27</f>
        <v>0</v>
      </c>
      <c r="L27" s="22"/>
      <c r="M27" s="40"/>
      <c r="N27" s="58"/>
      <c r="O27" s="58"/>
      <c r="P27" s="58"/>
    </row>
    <row r="28" spans="1:16" s="41" customFormat="1" x14ac:dyDescent="0.3">
      <c r="A28" s="5" t="s">
        <v>14</v>
      </c>
      <c r="B28" s="25">
        <v>45984</v>
      </c>
      <c r="C28" s="37">
        <v>0</v>
      </c>
      <c r="D28" s="37">
        <v>0</v>
      </c>
      <c r="E28" s="37">
        <v>0</v>
      </c>
      <c r="F28" s="37">
        <v>0</v>
      </c>
      <c r="G28" s="43">
        <f t="shared" si="6"/>
        <v>0</v>
      </c>
      <c r="H28" s="43">
        <v>0</v>
      </c>
      <c r="I28" s="43">
        <v>0</v>
      </c>
      <c r="J28" s="18"/>
      <c r="K28" s="18">
        <f t="shared" si="7"/>
        <v>0</v>
      </c>
      <c r="L28" s="22"/>
      <c r="M28" s="40"/>
      <c r="N28" s="58"/>
      <c r="O28" s="58"/>
      <c r="P28" s="58"/>
    </row>
    <row r="29" spans="1:16" x14ac:dyDescent="0.3">
      <c r="A29" s="4" t="s">
        <v>15</v>
      </c>
      <c r="B29" s="23">
        <v>45985</v>
      </c>
      <c r="C29" s="38">
        <v>0</v>
      </c>
      <c r="D29" s="38">
        <v>0</v>
      </c>
      <c r="E29" s="38">
        <v>0</v>
      </c>
      <c r="F29" s="38">
        <v>0</v>
      </c>
      <c r="G29" s="44">
        <f t="shared" ref="G29:G35" si="8">(F29*24-E29*24)+(D29*24-C29*24)</f>
        <v>0</v>
      </c>
      <c r="H29" s="42">
        <f>+$H$3*24</f>
        <v>0.5</v>
      </c>
      <c r="I29" s="42">
        <f>+$I$3*24</f>
        <v>8</v>
      </c>
      <c r="J29" s="42">
        <f>G29-I29-H29</f>
        <v>-8.5</v>
      </c>
      <c r="K29" s="39"/>
      <c r="L29" s="24"/>
      <c r="M29" s="2"/>
    </row>
    <row r="30" spans="1:16" x14ac:dyDescent="0.3">
      <c r="A30" s="4" t="s">
        <v>16</v>
      </c>
      <c r="B30" s="23">
        <v>45986</v>
      </c>
      <c r="C30" s="38">
        <v>0</v>
      </c>
      <c r="D30" s="38">
        <v>0</v>
      </c>
      <c r="E30" s="38">
        <v>0</v>
      </c>
      <c r="F30" s="38">
        <v>0</v>
      </c>
      <c r="G30" s="44">
        <f t="shared" si="8"/>
        <v>0</v>
      </c>
      <c r="H30" s="42">
        <f>+$H$3*24</f>
        <v>0.5</v>
      </c>
      <c r="I30" s="42">
        <f>+$I$3*24</f>
        <v>8</v>
      </c>
      <c r="J30" s="42">
        <f>G30-I30-H30</f>
        <v>-8.5</v>
      </c>
      <c r="K30" s="39"/>
      <c r="L30" s="24"/>
      <c r="M30" s="2"/>
    </row>
    <row r="31" spans="1:16" x14ac:dyDescent="0.3">
      <c r="A31" s="4" t="s">
        <v>17</v>
      </c>
      <c r="B31" s="23">
        <v>45987</v>
      </c>
      <c r="C31" s="38">
        <v>0</v>
      </c>
      <c r="D31" s="38">
        <v>0</v>
      </c>
      <c r="E31" s="38">
        <v>0</v>
      </c>
      <c r="F31" s="38">
        <v>0</v>
      </c>
      <c r="G31" s="44">
        <f t="shared" si="8"/>
        <v>0</v>
      </c>
      <c r="H31" s="42">
        <f>+$H$3*24</f>
        <v>0.5</v>
      </c>
      <c r="I31" s="42">
        <f>+$I$3*24</f>
        <v>8</v>
      </c>
      <c r="J31" s="42">
        <f>G31-I31-H31</f>
        <v>-8.5</v>
      </c>
      <c r="K31" s="39"/>
      <c r="L31" s="24"/>
      <c r="M31" s="2"/>
    </row>
    <row r="32" spans="1:16" x14ac:dyDescent="0.3">
      <c r="A32" s="4" t="s">
        <v>18</v>
      </c>
      <c r="B32" s="23">
        <v>45988</v>
      </c>
      <c r="C32" s="38">
        <v>0</v>
      </c>
      <c r="D32" s="38">
        <v>0</v>
      </c>
      <c r="E32" s="38">
        <v>0</v>
      </c>
      <c r="F32" s="38">
        <v>0</v>
      </c>
      <c r="G32" s="44">
        <f t="shared" si="8"/>
        <v>0</v>
      </c>
      <c r="H32" s="42">
        <f>+$H$3*24</f>
        <v>0.5</v>
      </c>
      <c r="I32" s="42">
        <f>+$I$3*24</f>
        <v>8</v>
      </c>
      <c r="J32" s="42">
        <f>G32-I32-H32</f>
        <v>-8.5</v>
      </c>
      <c r="K32" s="39"/>
      <c r="L32" s="24"/>
      <c r="M32" s="2"/>
    </row>
    <row r="33" spans="1:16" x14ac:dyDescent="0.3">
      <c r="A33" s="4" t="s">
        <v>12</v>
      </c>
      <c r="B33" s="23">
        <v>45989</v>
      </c>
      <c r="C33" s="38">
        <v>0</v>
      </c>
      <c r="D33" s="38">
        <v>0</v>
      </c>
      <c r="E33" s="38">
        <v>0</v>
      </c>
      <c r="F33" s="38">
        <v>0</v>
      </c>
      <c r="G33" s="44">
        <f t="shared" si="8"/>
        <v>0</v>
      </c>
      <c r="H33" s="42">
        <f>+$H$3*24</f>
        <v>0.5</v>
      </c>
      <c r="I33" s="42">
        <f>+$I$3*24</f>
        <v>8</v>
      </c>
      <c r="J33" s="42">
        <f>G33-I33-H33</f>
        <v>-8.5</v>
      </c>
      <c r="K33" s="39"/>
      <c r="L33" s="24"/>
      <c r="M33" s="2"/>
    </row>
    <row r="34" spans="1:16" s="41" customFormat="1" x14ac:dyDescent="0.3">
      <c r="A34" s="5" t="s">
        <v>13</v>
      </c>
      <c r="B34" s="25">
        <v>45990</v>
      </c>
      <c r="C34" s="37">
        <v>0</v>
      </c>
      <c r="D34" s="37">
        <v>0</v>
      </c>
      <c r="E34" s="37">
        <v>0</v>
      </c>
      <c r="F34" s="37">
        <v>0</v>
      </c>
      <c r="G34" s="43">
        <f t="shared" si="8"/>
        <v>0</v>
      </c>
      <c r="H34" s="43">
        <v>0</v>
      </c>
      <c r="I34" s="43">
        <v>0</v>
      </c>
      <c r="J34" s="18"/>
      <c r="K34" s="18">
        <f t="shared" ref="K34:K35" si="9">G34-I34+H34</f>
        <v>0</v>
      </c>
      <c r="L34" s="22"/>
      <c r="M34" s="40"/>
      <c r="N34" s="58"/>
      <c r="O34" s="58"/>
      <c r="P34" s="58"/>
    </row>
    <row r="35" spans="1:16" s="41" customFormat="1" ht="17.25" thickBot="1" x14ac:dyDescent="0.35">
      <c r="A35" s="5" t="s">
        <v>14</v>
      </c>
      <c r="B35" s="61">
        <v>45991</v>
      </c>
      <c r="C35" s="62">
        <v>0</v>
      </c>
      <c r="D35" s="62">
        <v>0</v>
      </c>
      <c r="E35" s="62">
        <v>0</v>
      </c>
      <c r="F35" s="62">
        <v>0</v>
      </c>
      <c r="G35" s="63">
        <f t="shared" si="8"/>
        <v>0</v>
      </c>
      <c r="H35" s="63">
        <v>0</v>
      </c>
      <c r="I35" s="63">
        <v>0</v>
      </c>
      <c r="J35" s="64"/>
      <c r="K35" s="64">
        <f t="shared" si="9"/>
        <v>0</v>
      </c>
      <c r="L35" s="65"/>
      <c r="M35" s="40"/>
      <c r="N35" s="58"/>
      <c r="O35" s="58"/>
      <c r="P35" s="58"/>
    </row>
    <row r="36" spans="1:16" x14ac:dyDescent="0.3">
      <c r="A36" s="13"/>
      <c r="B36" s="12"/>
      <c r="C36" s="2"/>
      <c r="D36" s="2"/>
      <c r="E36" s="2"/>
      <c r="F36" s="8"/>
      <c r="G36" s="9">
        <f>SUM(G6:G35)</f>
        <v>0</v>
      </c>
      <c r="H36" s="10">
        <f>SUM(H6:H35)</f>
        <v>10</v>
      </c>
      <c r="I36" s="11">
        <f>SUM(I6:I35)</f>
        <v>160</v>
      </c>
      <c r="J36" s="9">
        <f>SUM(J6:J35)</f>
        <v>-170</v>
      </c>
      <c r="K36" s="9">
        <f>SUM(K6:K35)</f>
        <v>0</v>
      </c>
      <c r="L36" s="2"/>
      <c r="M36" s="2"/>
    </row>
    <row r="37" spans="1:16" x14ac:dyDescent="0.3">
      <c r="A37" s="14"/>
      <c r="B37" s="12"/>
    </row>
    <row r="38" spans="1:16" x14ac:dyDescent="0.3">
      <c r="B38" s="7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874E-5750-40EE-A7F8-9E60165E413F}">
  <sheetPr>
    <pageSetUpPr fitToPage="1"/>
  </sheetPr>
  <dimension ref="A1:P42"/>
  <sheetViews>
    <sheetView workbookViewId="0">
      <selection activeCell="Q10" sqref="Q10"/>
    </sheetView>
  </sheetViews>
  <sheetFormatPr baseColWidth="10" defaultColWidth="11.42578125" defaultRowHeight="16.5" x14ac:dyDescent="0.3"/>
  <cols>
    <col min="1" max="1" width="5" style="1" customWidth="1"/>
    <col min="2" max="2" width="17.140625" style="1" bestFit="1" customWidth="1"/>
    <col min="3" max="5" width="11.85546875" style="1" customWidth="1"/>
    <col min="6" max="6" width="12.85546875" style="1" customWidth="1"/>
    <col min="7" max="7" width="11.42578125" style="1"/>
    <col min="8" max="8" width="14.5703125" style="1" bestFit="1" customWidth="1"/>
    <col min="9" max="10" width="11.42578125" style="1"/>
    <col min="11" max="11" width="17.5703125" style="1" bestFit="1" customWidth="1"/>
    <col min="12" max="12" width="21.140625" style="1" bestFit="1" customWidth="1"/>
    <col min="13" max="13" width="11.42578125" style="1"/>
    <col min="14" max="14" width="11.85546875" style="1" bestFit="1" customWidth="1"/>
    <col min="15" max="15" width="10.5703125" style="1" customWidth="1"/>
    <col min="16" max="16" width="14" style="1" bestFit="1" customWidth="1"/>
    <col min="17" max="248" width="11.42578125" style="1"/>
    <col min="249" max="249" width="5" style="1" customWidth="1"/>
    <col min="250" max="250" width="17.140625" style="1" bestFit="1" customWidth="1"/>
    <col min="251" max="253" width="11.85546875" style="1" customWidth="1"/>
    <col min="254" max="254" width="12.85546875" style="1" customWidth="1"/>
    <col min="255" max="255" width="11.42578125" style="1"/>
    <col min="256" max="256" width="14.5703125" style="1" bestFit="1" customWidth="1"/>
    <col min="257" max="258" width="11.42578125" style="1"/>
    <col min="259" max="259" width="17.5703125" style="1" bestFit="1" customWidth="1"/>
    <col min="260" max="260" width="19.5703125" style="1" customWidth="1"/>
    <col min="261" max="262" width="11.42578125" style="1"/>
    <col min="263" max="263" width="14" style="1" bestFit="1" customWidth="1"/>
    <col min="264" max="264" width="12.42578125" style="1" customWidth="1"/>
    <col min="265" max="504" width="11.42578125" style="1"/>
    <col min="505" max="505" width="5" style="1" customWidth="1"/>
    <col min="506" max="506" width="17.140625" style="1" bestFit="1" customWidth="1"/>
    <col min="507" max="509" width="11.85546875" style="1" customWidth="1"/>
    <col min="510" max="510" width="12.85546875" style="1" customWidth="1"/>
    <col min="511" max="511" width="11.42578125" style="1"/>
    <col min="512" max="512" width="14.5703125" style="1" bestFit="1" customWidth="1"/>
    <col min="513" max="514" width="11.42578125" style="1"/>
    <col min="515" max="515" width="17.5703125" style="1" bestFit="1" customWidth="1"/>
    <col min="516" max="516" width="19.5703125" style="1" customWidth="1"/>
    <col min="517" max="518" width="11.42578125" style="1"/>
    <col min="519" max="519" width="14" style="1" bestFit="1" customWidth="1"/>
    <col min="520" max="520" width="12.42578125" style="1" customWidth="1"/>
    <col min="521" max="760" width="11.42578125" style="1"/>
    <col min="761" max="761" width="5" style="1" customWidth="1"/>
    <col min="762" max="762" width="17.140625" style="1" bestFit="1" customWidth="1"/>
    <col min="763" max="765" width="11.85546875" style="1" customWidth="1"/>
    <col min="766" max="766" width="12.85546875" style="1" customWidth="1"/>
    <col min="767" max="767" width="11.42578125" style="1"/>
    <col min="768" max="768" width="14.5703125" style="1" bestFit="1" customWidth="1"/>
    <col min="769" max="770" width="11.42578125" style="1"/>
    <col min="771" max="771" width="17.5703125" style="1" bestFit="1" customWidth="1"/>
    <col min="772" max="772" width="19.5703125" style="1" customWidth="1"/>
    <col min="773" max="774" width="11.42578125" style="1"/>
    <col min="775" max="775" width="14" style="1" bestFit="1" customWidth="1"/>
    <col min="776" max="776" width="12.42578125" style="1" customWidth="1"/>
    <col min="777" max="1016" width="11.42578125" style="1"/>
    <col min="1017" max="1017" width="5" style="1" customWidth="1"/>
    <col min="1018" max="1018" width="17.140625" style="1" bestFit="1" customWidth="1"/>
    <col min="1019" max="1021" width="11.85546875" style="1" customWidth="1"/>
    <col min="1022" max="1022" width="12.85546875" style="1" customWidth="1"/>
    <col min="1023" max="1023" width="11.42578125" style="1"/>
    <col min="1024" max="1024" width="14.5703125" style="1" bestFit="1" customWidth="1"/>
    <col min="1025" max="1026" width="11.42578125" style="1"/>
    <col min="1027" max="1027" width="17.5703125" style="1" bestFit="1" customWidth="1"/>
    <col min="1028" max="1028" width="19.5703125" style="1" customWidth="1"/>
    <col min="1029" max="1030" width="11.42578125" style="1"/>
    <col min="1031" max="1031" width="14" style="1" bestFit="1" customWidth="1"/>
    <col min="1032" max="1032" width="12.42578125" style="1" customWidth="1"/>
    <col min="1033" max="1272" width="11.42578125" style="1"/>
    <col min="1273" max="1273" width="5" style="1" customWidth="1"/>
    <col min="1274" max="1274" width="17.140625" style="1" bestFit="1" customWidth="1"/>
    <col min="1275" max="1277" width="11.85546875" style="1" customWidth="1"/>
    <col min="1278" max="1278" width="12.85546875" style="1" customWidth="1"/>
    <col min="1279" max="1279" width="11.42578125" style="1"/>
    <col min="1280" max="1280" width="14.5703125" style="1" bestFit="1" customWidth="1"/>
    <col min="1281" max="1282" width="11.42578125" style="1"/>
    <col min="1283" max="1283" width="17.5703125" style="1" bestFit="1" customWidth="1"/>
    <col min="1284" max="1284" width="19.5703125" style="1" customWidth="1"/>
    <col min="1285" max="1286" width="11.42578125" style="1"/>
    <col min="1287" max="1287" width="14" style="1" bestFit="1" customWidth="1"/>
    <col min="1288" max="1288" width="12.42578125" style="1" customWidth="1"/>
    <col min="1289" max="1528" width="11.42578125" style="1"/>
    <col min="1529" max="1529" width="5" style="1" customWidth="1"/>
    <col min="1530" max="1530" width="17.140625" style="1" bestFit="1" customWidth="1"/>
    <col min="1531" max="1533" width="11.85546875" style="1" customWidth="1"/>
    <col min="1534" max="1534" width="12.85546875" style="1" customWidth="1"/>
    <col min="1535" max="1535" width="11.42578125" style="1"/>
    <col min="1536" max="1536" width="14.5703125" style="1" bestFit="1" customWidth="1"/>
    <col min="1537" max="1538" width="11.42578125" style="1"/>
    <col min="1539" max="1539" width="17.5703125" style="1" bestFit="1" customWidth="1"/>
    <col min="1540" max="1540" width="19.5703125" style="1" customWidth="1"/>
    <col min="1541" max="1542" width="11.42578125" style="1"/>
    <col min="1543" max="1543" width="14" style="1" bestFit="1" customWidth="1"/>
    <col min="1544" max="1544" width="12.42578125" style="1" customWidth="1"/>
    <col min="1545" max="1784" width="11.42578125" style="1"/>
    <col min="1785" max="1785" width="5" style="1" customWidth="1"/>
    <col min="1786" max="1786" width="17.140625" style="1" bestFit="1" customWidth="1"/>
    <col min="1787" max="1789" width="11.85546875" style="1" customWidth="1"/>
    <col min="1790" max="1790" width="12.85546875" style="1" customWidth="1"/>
    <col min="1791" max="1791" width="11.42578125" style="1"/>
    <col min="1792" max="1792" width="14.5703125" style="1" bestFit="1" customWidth="1"/>
    <col min="1793" max="1794" width="11.42578125" style="1"/>
    <col min="1795" max="1795" width="17.5703125" style="1" bestFit="1" customWidth="1"/>
    <col min="1796" max="1796" width="19.5703125" style="1" customWidth="1"/>
    <col min="1797" max="1798" width="11.42578125" style="1"/>
    <col min="1799" max="1799" width="14" style="1" bestFit="1" customWidth="1"/>
    <col min="1800" max="1800" width="12.42578125" style="1" customWidth="1"/>
    <col min="1801" max="2040" width="11.42578125" style="1"/>
    <col min="2041" max="2041" width="5" style="1" customWidth="1"/>
    <col min="2042" max="2042" width="17.140625" style="1" bestFit="1" customWidth="1"/>
    <col min="2043" max="2045" width="11.85546875" style="1" customWidth="1"/>
    <col min="2046" max="2046" width="12.85546875" style="1" customWidth="1"/>
    <col min="2047" max="2047" width="11.42578125" style="1"/>
    <col min="2048" max="2048" width="14.5703125" style="1" bestFit="1" customWidth="1"/>
    <col min="2049" max="2050" width="11.42578125" style="1"/>
    <col min="2051" max="2051" width="17.5703125" style="1" bestFit="1" customWidth="1"/>
    <col min="2052" max="2052" width="19.5703125" style="1" customWidth="1"/>
    <col min="2053" max="2054" width="11.42578125" style="1"/>
    <col min="2055" max="2055" width="14" style="1" bestFit="1" customWidth="1"/>
    <col min="2056" max="2056" width="12.42578125" style="1" customWidth="1"/>
    <col min="2057" max="2296" width="11.42578125" style="1"/>
    <col min="2297" max="2297" width="5" style="1" customWidth="1"/>
    <col min="2298" max="2298" width="17.140625" style="1" bestFit="1" customWidth="1"/>
    <col min="2299" max="2301" width="11.85546875" style="1" customWidth="1"/>
    <col min="2302" max="2302" width="12.85546875" style="1" customWidth="1"/>
    <col min="2303" max="2303" width="11.42578125" style="1"/>
    <col min="2304" max="2304" width="14.5703125" style="1" bestFit="1" customWidth="1"/>
    <col min="2305" max="2306" width="11.42578125" style="1"/>
    <col min="2307" max="2307" width="17.5703125" style="1" bestFit="1" customWidth="1"/>
    <col min="2308" max="2308" width="19.5703125" style="1" customWidth="1"/>
    <col min="2309" max="2310" width="11.42578125" style="1"/>
    <col min="2311" max="2311" width="14" style="1" bestFit="1" customWidth="1"/>
    <col min="2312" max="2312" width="12.42578125" style="1" customWidth="1"/>
    <col min="2313" max="2552" width="11.42578125" style="1"/>
    <col min="2553" max="2553" width="5" style="1" customWidth="1"/>
    <col min="2554" max="2554" width="17.140625" style="1" bestFit="1" customWidth="1"/>
    <col min="2555" max="2557" width="11.85546875" style="1" customWidth="1"/>
    <col min="2558" max="2558" width="12.85546875" style="1" customWidth="1"/>
    <col min="2559" max="2559" width="11.42578125" style="1"/>
    <col min="2560" max="2560" width="14.5703125" style="1" bestFit="1" customWidth="1"/>
    <col min="2561" max="2562" width="11.42578125" style="1"/>
    <col min="2563" max="2563" width="17.5703125" style="1" bestFit="1" customWidth="1"/>
    <col min="2564" max="2564" width="19.5703125" style="1" customWidth="1"/>
    <col min="2565" max="2566" width="11.42578125" style="1"/>
    <col min="2567" max="2567" width="14" style="1" bestFit="1" customWidth="1"/>
    <col min="2568" max="2568" width="12.42578125" style="1" customWidth="1"/>
    <col min="2569" max="2808" width="11.42578125" style="1"/>
    <col min="2809" max="2809" width="5" style="1" customWidth="1"/>
    <col min="2810" max="2810" width="17.140625" style="1" bestFit="1" customWidth="1"/>
    <col min="2811" max="2813" width="11.85546875" style="1" customWidth="1"/>
    <col min="2814" max="2814" width="12.85546875" style="1" customWidth="1"/>
    <col min="2815" max="2815" width="11.42578125" style="1"/>
    <col min="2816" max="2816" width="14.5703125" style="1" bestFit="1" customWidth="1"/>
    <col min="2817" max="2818" width="11.42578125" style="1"/>
    <col min="2819" max="2819" width="17.5703125" style="1" bestFit="1" customWidth="1"/>
    <col min="2820" max="2820" width="19.5703125" style="1" customWidth="1"/>
    <col min="2821" max="2822" width="11.42578125" style="1"/>
    <col min="2823" max="2823" width="14" style="1" bestFit="1" customWidth="1"/>
    <col min="2824" max="2824" width="12.42578125" style="1" customWidth="1"/>
    <col min="2825" max="3064" width="11.42578125" style="1"/>
    <col min="3065" max="3065" width="5" style="1" customWidth="1"/>
    <col min="3066" max="3066" width="17.140625" style="1" bestFit="1" customWidth="1"/>
    <col min="3067" max="3069" width="11.85546875" style="1" customWidth="1"/>
    <col min="3070" max="3070" width="12.85546875" style="1" customWidth="1"/>
    <col min="3071" max="3071" width="11.42578125" style="1"/>
    <col min="3072" max="3072" width="14.5703125" style="1" bestFit="1" customWidth="1"/>
    <col min="3073" max="3074" width="11.42578125" style="1"/>
    <col min="3075" max="3075" width="17.5703125" style="1" bestFit="1" customWidth="1"/>
    <col min="3076" max="3076" width="19.5703125" style="1" customWidth="1"/>
    <col min="3077" max="3078" width="11.42578125" style="1"/>
    <col min="3079" max="3079" width="14" style="1" bestFit="1" customWidth="1"/>
    <col min="3080" max="3080" width="12.42578125" style="1" customWidth="1"/>
    <col min="3081" max="3320" width="11.42578125" style="1"/>
    <col min="3321" max="3321" width="5" style="1" customWidth="1"/>
    <col min="3322" max="3322" width="17.140625" style="1" bestFit="1" customWidth="1"/>
    <col min="3323" max="3325" width="11.85546875" style="1" customWidth="1"/>
    <col min="3326" max="3326" width="12.85546875" style="1" customWidth="1"/>
    <col min="3327" max="3327" width="11.42578125" style="1"/>
    <col min="3328" max="3328" width="14.5703125" style="1" bestFit="1" customWidth="1"/>
    <col min="3329" max="3330" width="11.42578125" style="1"/>
    <col min="3331" max="3331" width="17.5703125" style="1" bestFit="1" customWidth="1"/>
    <col min="3332" max="3332" width="19.5703125" style="1" customWidth="1"/>
    <col min="3333" max="3334" width="11.42578125" style="1"/>
    <col min="3335" max="3335" width="14" style="1" bestFit="1" customWidth="1"/>
    <col min="3336" max="3336" width="12.42578125" style="1" customWidth="1"/>
    <col min="3337" max="3576" width="11.42578125" style="1"/>
    <col min="3577" max="3577" width="5" style="1" customWidth="1"/>
    <col min="3578" max="3578" width="17.140625" style="1" bestFit="1" customWidth="1"/>
    <col min="3579" max="3581" width="11.85546875" style="1" customWidth="1"/>
    <col min="3582" max="3582" width="12.85546875" style="1" customWidth="1"/>
    <col min="3583" max="3583" width="11.42578125" style="1"/>
    <col min="3584" max="3584" width="14.5703125" style="1" bestFit="1" customWidth="1"/>
    <col min="3585" max="3586" width="11.42578125" style="1"/>
    <col min="3587" max="3587" width="17.5703125" style="1" bestFit="1" customWidth="1"/>
    <col min="3588" max="3588" width="19.5703125" style="1" customWidth="1"/>
    <col min="3589" max="3590" width="11.42578125" style="1"/>
    <col min="3591" max="3591" width="14" style="1" bestFit="1" customWidth="1"/>
    <col min="3592" max="3592" width="12.42578125" style="1" customWidth="1"/>
    <col min="3593" max="3832" width="11.42578125" style="1"/>
    <col min="3833" max="3833" width="5" style="1" customWidth="1"/>
    <col min="3834" max="3834" width="17.140625" style="1" bestFit="1" customWidth="1"/>
    <col min="3835" max="3837" width="11.85546875" style="1" customWidth="1"/>
    <col min="3838" max="3838" width="12.85546875" style="1" customWidth="1"/>
    <col min="3839" max="3839" width="11.42578125" style="1"/>
    <col min="3840" max="3840" width="14.5703125" style="1" bestFit="1" customWidth="1"/>
    <col min="3841" max="3842" width="11.42578125" style="1"/>
    <col min="3843" max="3843" width="17.5703125" style="1" bestFit="1" customWidth="1"/>
    <col min="3844" max="3844" width="19.5703125" style="1" customWidth="1"/>
    <col min="3845" max="3846" width="11.42578125" style="1"/>
    <col min="3847" max="3847" width="14" style="1" bestFit="1" customWidth="1"/>
    <col min="3848" max="3848" width="12.42578125" style="1" customWidth="1"/>
    <col min="3849" max="4088" width="11.42578125" style="1"/>
    <col min="4089" max="4089" width="5" style="1" customWidth="1"/>
    <col min="4090" max="4090" width="17.140625" style="1" bestFit="1" customWidth="1"/>
    <col min="4091" max="4093" width="11.85546875" style="1" customWidth="1"/>
    <col min="4094" max="4094" width="12.85546875" style="1" customWidth="1"/>
    <col min="4095" max="4095" width="11.42578125" style="1"/>
    <col min="4096" max="4096" width="14.5703125" style="1" bestFit="1" customWidth="1"/>
    <col min="4097" max="4098" width="11.42578125" style="1"/>
    <col min="4099" max="4099" width="17.5703125" style="1" bestFit="1" customWidth="1"/>
    <col min="4100" max="4100" width="19.5703125" style="1" customWidth="1"/>
    <col min="4101" max="4102" width="11.42578125" style="1"/>
    <col min="4103" max="4103" width="14" style="1" bestFit="1" customWidth="1"/>
    <col min="4104" max="4104" width="12.42578125" style="1" customWidth="1"/>
    <col min="4105" max="4344" width="11.42578125" style="1"/>
    <col min="4345" max="4345" width="5" style="1" customWidth="1"/>
    <col min="4346" max="4346" width="17.140625" style="1" bestFit="1" customWidth="1"/>
    <col min="4347" max="4349" width="11.85546875" style="1" customWidth="1"/>
    <col min="4350" max="4350" width="12.85546875" style="1" customWidth="1"/>
    <col min="4351" max="4351" width="11.42578125" style="1"/>
    <col min="4352" max="4352" width="14.5703125" style="1" bestFit="1" customWidth="1"/>
    <col min="4353" max="4354" width="11.42578125" style="1"/>
    <col min="4355" max="4355" width="17.5703125" style="1" bestFit="1" customWidth="1"/>
    <col min="4356" max="4356" width="19.5703125" style="1" customWidth="1"/>
    <col min="4357" max="4358" width="11.42578125" style="1"/>
    <col min="4359" max="4359" width="14" style="1" bestFit="1" customWidth="1"/>
    <col min="4360" max="4360" width="12.42578125" style="1" customWidth="1"/>
    <col min="4361" max="4600" width="11.42578125" style="1"/>
    <col min="4601" max="4601" width="5" style="1" customWidth="1"/>
    <col min="4602" max="4602" width="17.140625" style="1" bestFit="1" customWidth="1"/>
    <col min="4603" max="4605" width="11.85546875" style="1" customWidth="1"/>
    <col min="4606" max="4606" width="12.85546875" style="1" customWidth="1"/>
    <col min="4607" max="4607" width="11.42578125" style="1"/>
    <col min="4608" max="4608" width="14.5703125" style="1" bestFit="1" customWidth="1"/>
    <col min="4609" max="4610" width="11.42578125" style="1"/>
    <col min="4611" max="4611" width="17.5703125" style="1" bestFit="1" customWidth="1"/>
    <col min="4612" max="4612" width="19.5703125" style="1" customWidth="1"/>
    <col min="4613" max="4614" width="11.42578125" style="1"/>
    <col min="4615" max="4615" width="14" style="1" bestFit="1" customWidth="1"/>
    <col min="4616" max="4616" width="12.42578125" style="1" customWidth="1"/>
    <col min="4617" max="4856" width="11.42578125" style="1"/>
    <col min="4857" max="4857" width="5" style="1" customWidth="1"/>
    <col min="4858" max="4858" width="17.140625" style="1" bestFit="1" customWidth="1"/>
    <col min="4859" max="4861" width="11.85546875" style="1" customWidth="1"/>
    <col min="4862" max="4862" width="12.85546875" style="1" customWidth="1"/>
    <col min="4863" max="4863" width="11.42578125" style="1"/>
    <col min="4864" max="4864" width="14.5703125" style="1" bestFit="1" customWidth="1"/>
    <col min="4865" max="4866" width="11.42578125" style="1"/>
    <col min="4867" max="4867" width="17.5703125" style="1" bestFit="1" customWidth="1"/>
    <col min="4868" max="4868" width="19.5703125" style="1" customWidth="1"/>
    <col min="4869" max="4870" width="11.42578125" style="1"/>
    <col min="4871" max="4871" width="14" style="1" bestFit="1" customWidth="1"/>
    <col min="4872" max="4872" width="12.42578125" style="1" customWidth="1"/>
    <col min="4873" max="5112" width="11.42578125" style="1"/>
    <col min="5113" max="5113" width="5" style="1" customWidth="1"/>
    <col min="5114" max="5114" width="17.140625" style="1" bestFit="1" customWidth="1"/>
    <col min="5115" max="5117" width="11.85546875" style="1" customWidth="1"/>
    <col min="5118" max="5118" width="12.85546875" style="1" customWidth="1"/>
    <col min="5119" max="5119" width="11.42578125" style="1"/>
    <col min="5120" max="5120" width="14.5703125" style="1" bestFit="1" customWidth="1"/>
    <col min="5121" max="5122" width="11.42578125" style="1"/>
    <col min="5123" max="5123" width="17.5703125" style="1" bestFit="1" customWidth="1"/>
    <col min="5124" max="5124" width="19.5703125" style="1" customWidth="1"/>
    <col min="5125" max="5126" width="11.42578125" style="1"/>
    <col min="5127" max="5127" width="14" style="1" bestFit="1" customWidth="1"/>
    <col min="5128" max="5128" width="12.42578125" style="1" customWidth="1"/>
    <col min="5129" max="5368" width="11.42578125" style="1"/>
    <col min="5369" max="5369" width="5" style="1" customWidth="1"/>
    <col min="5370" max="5370" width="17.140625" style="1" bestFit="1" customWidth="1"/>
    <col min="5371" max="5373" width="11.85546875" style="1" customWidth="1"/>
    <col min="5374" max="5374" width="12.85546875" style="1" customWidth="1"/>
    <col min="5375" max="5375" width="11.42578125" style="1"/>
    <col min="5376" max="5376" width="14.5703125" style="1" bestFit="1" customWidth="1"/>
    <col min="5377" max="5378" width="11.42578125" style="1"/>
    <col min="5379" max="5379" width="17.5703125" style="1" bestFit="1" customWidth="1"/>
    <col min="5380" max="5380" width="19.5703125" style="1" customWidth="1"/>
    <col min="5381" max="5382" width="11.42578125" style="1"/>
    <col min="5383" max="5383" width="14" style="1" bestFit="1" customWidth="1"/>
    <col min="5384" max="5384" width="12.42578125" style="1" customWidth="1"/>
    <col min="5385" max="5624" width="11.42578125" style="1"/>
    <col min="5625" max="5625" width="5" style="1" customWidth="1"/>
    <col min="5626" max="5626" width="17.140625" style="1" bestFit="1" customWidth="1"/>
    <col min="5627" max="5629" width="11.85546875" style="1" customWidth="1"/>
    <col min="5630" max="5630" width="12.85546875" style="1" customWidth="1"/>
    <col min="5631" max="5631" width="11.42578125" style="1"/>
    <col min="5632" max="5632" width="14.5703125" style="1" bestFit="1" customWidth="1"/>
    <col min="5633" max="5634" width="11.42578125" style="1"/>
    <col min="5635" max="5635" width="17.5703125" style="1" bestFit="1" customWidth="1"/>
    <col min="5636" max="5636" width="19.5703125" style="1" customWidth="1"/>
    <col min="5637" max="5638" width="11.42578125" style="1"/>
    <col min="5639" max="5639" width="14" style="1" bestFit="1" customWidth="1"/>
    <col min="5640" max="5640" width="12.42578125" style="1" customWidth="1"/>
    <col min="5641" max="5880" width="11.42578125" style="1"/>
    <col min="5881" max="5881" width="5" style="1" customWidth="1"/>
    <col min="5882" max="5882" width="17.140625" style="1" bestFit="1" customWidth="1"/>
    <col min="5883" max="5885" width="11.85546875" style="1" customWidth="1"/>
    <col min="5886" max="5886" width="12.85546875" style="1" customWidth="1"/>
    <col min="5887" max="5887" width="11.42578125" style="1"/>
    <col min="5888" max="5888" width="14.5703125" style="1" bestFit="1" customWidth="1"/>
    <col min="5889" max="5890" width="11.42578125" style="1"/>
    <col min="5891" max="5891" width="17.5703125" style="1" bestFit="1" customWidth="1"/>
    <col min="5892" max="5892" width="19.5703125" style="1" customWidth="1"/>
    <col min="5893" max="5894" width="11.42578125" style="1"/>
    <col min="5895" max="5895" width="14" style="1" bestFit="1" customWidth="1"/>
    <col min="5896" max="5896" width="12.42578125" style="1" customWidth="1"/>
    <col min="5897" max="6136" width="11.42578125" style="1"/>
    <col min="6137" max="6137" width="5" style="1" customWidth="1"/>
    <col min="6138" max="6138" width="17.140625" style="1" bestFit="1" customWidth="1"/>
    <col min="6139" max="6141" width="11.85546875" style="1" customWidth="1"/>
    <col min="6142" max="6142" width="12.85546875" style="1" customWidth="1"/>
    <col min="6143" max="6143" width="11.42578125" style="1"/>
    <col min="6144" max="6144" width="14.5703125" style="1" bestFit="1" customWidth="1"/>
    <col min="6145" max="6146" width="11.42578125" style="1"/>
    <col min="6147" max="6147" width="17.5703125" style="1" bestFit="1" customWidth="1"/>
    <col min="6148" max="6148" width="19.5703125" style="1" customWidth="1"/>
    <col min="6149" max="6150" width="11.42578125" style="1"/>
    <col min="6151" max="6151" width="14" style="1" bestFit="1" customWidth="1"/>
    <col min="6152" max="6152" width="12.42578125" style="1" customWidth="1"/>
    <col min="6153" max="6392" width="11.42578125" style="1"/>
    <col min="6393" max="6393" width="5" style="1" customWidth="1"/>
    <col min="6394" max="6394" width="17.140625" style="1" bestFit="1" customWidth="1"/>
    <col min="6395" max="6397" width="11.85546875" style="1" customWidth="1"/>
    <col min="6398" max="6398" width="12.85546875" style="1" customWidth="1"/>
    <col min="6399" max="6399" width="11.42578125" style="1"/>
    <col min="6400" max="6400" width="14.5703125" style="1" bestFit="1" customWidth="1"/>
    <col min="6401" max="6402" width="11.42578125" style="1"/>
    <col min="6403" max="6403" width="17.5703125" style="1" bestFit="1" customWidth="1"/>
    <col min="6404" max="6404" width="19.5703125" style="1" customWidth="1"/>
    <col min="6405" max="6406" width="11.42578125" style="1"/>
    <col min="6407" max="6407" width="14" style="1" bestFit="1" customWidth="1"/>
    <col min="6408" max="6408" width="12.42578125" style="1" customWidth="1"/>
    <col min="6409" max="6648" width="11.42578125" style="1"/>
    <col min="6649" max="6649" width="5" style="1" customWidth="1"/>
    <col min="6650" max="6650" width="17.140625" style="1" bestFit="1" customWidth="1"/>
    <col min="6651" max="6653" width="11.85546875" style="1" customWidth="1"/>
    <col min="6654" max="6654" width="12.85546875" style="1" customWidth="1"/>
    <col min="6655" max="6655" width="11.42578125" style="1"/>
    <col min="6656" max="6656" width="14.5703125" style="1" bestFit="1" customWidth="1"/>
    <col min="6657" max="6658" width="11.42578125" style="1"/>
    <col min="6659" max="6659" width="17.5703125" style="1" bestFit="1" customWidth="1"/>
    <col min="6660" max="6660" width="19.5703125" style="1" customWidth="1"/>
    <col min="6661" max="6662" width="11.42578125" style="1"/>
    <col min="6663" max="6663" width="14" style="1" bestFit="1" customWidth="1"/>
    <col min="6664" max="6664" width="12.42578125" style="1" customWidth="1"/>
    <col min="6665" max="6904" width="11.42578125" style="1"/>
    <col min="6905" max="6905" width="5" style="1" customWidth="1"/>
    <col min="6906" max="6906" width="17.140625" style="1" bestFit="1" customWidth="1"/>
    <col min="6907" max="6909" width="11.85546875" style="1" customWidth="1"/>
    <col min="6910" max="6910" width="12.85546875" style="1" customWidth="1"/>
    <col min="6911" max="6911" width="11.42578125" style="1"/>
    <col min="6912" max="6912" width="14.5703125" style="1" bestFit="1" customWidth="1"/>
    <col min="6913" max="6914" width="11.42578125" style="1"/>
    <col min="6915" max="6915" width="17.5703125" style="1" bestFit="1" customWidth="1"/>
    <col min="6916" max="6916" width="19.5703125" style="1" customWidth="1"/>
    <col min="6917" max="6918" width="11.42578125" style="1"/>
    <col min="6919" max="6919" width="14" style="1" bestFit="1" customWidth="1"/>
    <col min="6920" max="6920" width="12.42578125" style="1" customWidth="1"/>
    <col min="6921" max="7160" width="11.42578125" style="1"/>
    <col min="7161" max="7161" width="5" style="1" customWidth="1"/>
    <col min="7162" max="7162" width="17.140625" style="1" bestFit="1" customWidth="1"/>
    <col min="7163" max="7165" width="11.85546875" style="1" customWidth="1"/>
    <col min="7166" max="7166" width="12.85546875" style="1" customWidth="1"/>
    <col min="7167" max="7167" width="11.42578125" style="1"/>
    <col min="7168" max="7168" width="14.5703125" style="1" bestFit="1" customWidth="1"/>
    <col min="7169" max="7170" width="11.42578125" style="1"/>
    <col min="7171" max="7171" width="17.5703125" style="1" bestFit="1" customWidth="1"/>
    <col min="7172" max="7172" width="19.5703125" style="1" customWidth="1"/>
    <col min="7173" max="7174" width="11.42578125" style="1"/>
    <col min="7175" max="7175" width="14" style="1" bestFit="1" customWidth="1"/>
    <col min="7176" max="7176" width="12.42578125" style="1" customWidth="1"/>
    <col min="7177" max="7416" width="11.42578125" style="1"/>
    <col min="7417" max="7417" width="5" style="1" customWidth="1"/>
    <col min="7418" max="7418" width="17.140625" style="1" bestFit="1" customWidth="1"/>
    <col min="7419" max="7421" width="11.85546875" style="1" customWidth="1"/>
    <col min="7422" max="7422" width="12.85546875" style="1" customWidth="1"/>
    <col min="7423" max="7423" width="11.42578125" style="1"/>
    <col min="7424" max="7424" width="14.5703125" style="1" bestFit="1" customWidth="1"/>
    <col min="7425" max="7426" width="11.42578125" style="1"/>
    <col min="7427" max="7427" width="17.5703125" style="1" bestFit="1" customWidth="1"/>
    <col min="7428" max="7428" width="19.5703125" style="1" customWidth="1"/>
    <col min="7429" max="7430" width="11.42578125" style="1"/>
    <col min="7431" max="7431" width="14" style="1" bestFit="1" customWidth="1"/>
    <col min="7432" max="7432" width="12.42578125" style="1" customWidth="1"/>
    <col min="7433" max="7672" width="11.42578125" style="1"/>
    <col min="7673" max="7673" width="5" style="1" customWidth="1"/>
    <col min="7674" max="7674" width="17.140625" style="1" bestFit="1" customWidth="1"/>
    <col min="7675" max="7677" width="11.85546875" style="1" customWidth="1"/>
    <col min="7678" max="7678" width="12.85546875" style="1" customWidth="1"/>
    <col min="7679" max="7679" width="11.42578125" style="1"/>
    <col min="7680" max="7680" width="14.5703125" style="1" bestFit="1" customWidth="1"/>
    <col min="7681" max="7682" width="11.42578125" style="1"/>
    <col min="7683" max="7683" width="17.5703125" style="1" bestFit="1" customWidth="1"/>
    <col min="7684" max="7684" width="19.5703125" style="1" customWidth="1"/>
    <col min="7685" max="7686" width="11.42578125" style="1"/>
    <col min="7687" max="7687" width="14" style="1" bestFit="1" customWidth="1"/>
    <col min="7688" max="7688" width="12.42578125" style="1" customWidth="1"/>
    <col min="7689" max="7928" width="11.42578125" style="1"/>
    <col min="7929" max="7929" width="5" style="1" customWidth="1"/>
    <col min="7930" max="7930" width="17.140625" style="1" bestFit="1" customWidth="1"/>
    <col min="7931" max="7933" width="11.85546875" style="1" customWidth="1"/>
    <col min="7934" max="7934" width="12.85546875" style="1" customWidth="1"/>
    <col min="7935" max="7935" width="11.42578125" style="1"/>
    <col min="7936" max="7936" width="14.5703125" style="1" bestFit="1" customWidth="1"/>
    <col min="7937" max="7938" width="11.42578125" style="1"/>
    <col min="7939" max="7939" width="17.5703125" style="1" bestFit="1" customWidth="1"/>
    <col min="7940" max="7940" width="19.5703125" style="1" customWidth="1"/>
    <col min="7941" max="7942" width="11.42578125" style="1"/>
    <col min="7943" max="7943" width="14" style="1" bestFit="1" customWidth="1"/>
    <col min="7944" max="7944" width="12.42578125" style="1" customWidth="1"/>
    <col min="7945" max="8184" width="11.42578125" style="1"/>
    <col min="8185" max="8185" width="5" style="1" customWidth="1"/>
    <col min="8186" max="8186" width="17.140625" style="1" bestFit="1" customWidth="1"/>
    <col min="8187" max="8189" width="11.85546875" style="1" customWidth="1"/>
    <col min="8190" max="8190" width="12.85546875" style="1" customWidth="1"/>
    <col min="8191" max="8191" width="11.42578125" style="1"/>
    <col min="8192" max="8192" width="14.5703125" style="1" bestFit="1" customWidth="1"/>
    <col min="8193" max="8194" width="11.42578125" style="1"/>
    <col min="8195" max="8195" width="17.5703125" style="1" bestFit="1" customWidth="1"/>
    <col min="8196" max="8196" width="19.5703125" style="1" customWidth="1"/>
    <col min="8197" max="8198" width="11.42578125" style="1"/>
    <col min="8199" max="8199" width="14" style="1" bestFit="1" customWidth="1"/>
    <col min="8200" max="8200" width="12.42578125" style="1" customWidth="1"/>
    <col min="8201" max="8440" width="11.42578125" style="1"/>
    <col min="8441" max="8441" width="5" style="1" customWidth="1"/>
    <col min="8442" max="8442" width="17.140625" style="1" bestFit="1" customWidth="1"/>
    <col min="8443" max="8445" width="11.85546875" style="1" customWidth="1"/>
    <col min="8446" max="8446" width="12.85546875" style="1" customWidth="1"/>
    <col min="8447" max="8447" width="11.42578125" style="1"/>
    <col min="8448" max="8448" width="14.5703125" style="1" bestFit="1" customWidth="1"/>
    <col min="8449" max="8450" width="11.42578125" style="1"/>
    <col min="8451" max="8451" width="17.5703125" style="1" bestFit="1" customWidth="1"/>
    <col min="8452" max="8452" width="19.5703125" style="1" customWidth="1"/>
    <col min="8453" max="8454" width="11.42578125" style="1"/>
    <col min="8455" max="8455" width="14" style="1" bestFit="1" customWidth="1"/>
    <col min="8456" max="8456" width="12.42578125" style="1" customWidth="1"/>
    <col min="8457" max="8696" width="11.42578125" style="1"/>
    <col min="8697" max="8697" width="5" style="1" customWidth="1"/>
    <col min="8698" max="8698" width="17.140625" style="1" bestFit="1" customWidth="1"/>
    <col min="8699" max="8701" width="11.85546875" style="1" customWidth="1"/>
    <col min="8702" max="8702" width="12.85546875" style="1" customWidth="1"/>
    <col min="8703" max="8703" width="11.42578125" style="1"/>
    <col min="8704" max="8704" width="14.5703125" style="1" bestFit="1" customWidth="1"/>
    <col min="8705" max="8706" width="11.42578125" style="1"/>
    <col min="8707" max="8707" width="17.5703125" style="1" bestFit="1" customWidth="1"/>
    <col min="8708" max="8708" width="19.5703125" style="1" customWidth="1"/>
    <col min="8709" max="8710" width="11.42578125" style="1"/>
    <col min="8711" max="8711" width="14" style="1" bestFit="1" customWidth="1"/>
    <col min="8712" max="8712" width="12.42578125" style="1" customWidth="1"/>
    <col min="8713" max="8952" width="11.42578125" style="1"/>
    <col min="8953" max="8953" width="5" style="1" customWidth="1"/>
    <col min="8954" max="8954" width="17.140625" style="1" bestFit="1" customWidth="1"/>
    <col min="8955" max="8957" width="11.85546875" style="1" customWidth="1"/>
    <col min="8958" max="8958" width="12.85546875" style="1" customWidth="1"/>
    <col min="8959" max="8959" width="11.42578125" style="1"/>
    <col min="8960" max="8960" width="14.5703125" style="1" bestFit="1" customWidth="1"/>
    <col min="8961" max="8962" width="11.42578125" style="1"/>
    <col min="8963" max="8963" width="17.5703125" style="1" bestFit="1" customWidth="1"/>
    <col min="8964" max="8964" width="19.5703125" style="1" customWidth="1"/>
    <col min="8965" max="8966" width="11.42578125" style="1"/>
    <col min="8967" max="8967" width="14" style="1" bestFit="1" customWidth="1"/>
    <col min="8968" max="8968" width="12.42578125" style="1" customWidth="1"/>
    <col min="8969" max="9208" width="11.42578125" style="1"/>
    <col min="9209" max="9209" width="5" style="1" customWidth="1"/>
    <col min="9210" max="9210" width="17.140625" style="1" bestFit="1" customWidth="1"/>
    <col min="9211" max="9213" width="11.85546875" style="1" customWidth="1"/>
    <col min="9214" max="9214" width="12.85546875" style="1" customWidth="1"/>
    <col min="9215" max="9215" width="11.42578125" style="1"/>
    <col min="9216" max="9216" width="14.5703125" style="1" bestFit="1" customWidth="1"/>
    <col min="9217" max="9218" width="11.42578125" style="1"/>
    <col min="9219" max="9219" width="17.5703125" style="1" bestFit="1" customWidth="1"/>
    <col min="9220" max="9220" width="19.5703125" style="1" customWidth="1"/>
    <col min="9221" max="9222" width="11.42578125" style="1"/>
    <col min="9223" max="9223" width="14" style="1" bestFit="1" customWidth="1"/>
    <col min="9224" max="9224" width="12.42578125" style="1" customWidth="1"/>
    <col min="9225" max="9464" width="11.42578125" style="1"/>
    <col min="9465" max="9465" width="5" style="1" customWidth="1"/>
    <col min="9466" max="9466" width="17.140625" style="1" bestFit="1" customWidth="1"/>
    <col min="9467" max="9469" width="11.85546875" style="1" customWidth="1"/>
    <col min="9470" max="9470" width="12.85546875" style="1" customWidth="1"/>
    <col min="9471" max="9471" width="11.42578125" style="1"/>
    <col min="9472" max="9472" width="14.5703125" style="1" bestFit="1" customWidth="1"/>
    <col min="9473" max="9474" width="11.42578125" style="1"/>
    <col min="9475" max="9475" width="17.5703125" style="1" bestFit="1" customWidth="1"/>
    <col min="9476" max="9476" width="19.5703125" style="1" customWidth="1"/>
    <col min="9477" max="9478" width="11.42578125" style="1"/>
    <col min="9479" max="9479" width="14" style="1" bestFit="1" customWidth="1"/>
    <col min="9480" max="9480" width="12.42578125" style="1" customWidth="1"/>
    <col min="9481" max="9720" width="11.42578125" style="1"/>
    <col min="9721" max="9721" width="5" style="1" customWidth="1"/>
    <col min="9722" max="9722" width="17.140625" style="1" bestFit="1" customWidth="1"/>
    <col min="9723" max="9725" width="11.85546875" style="1" customWidth="1"/>
    <col min="9726" max="9726" width="12.85546875" style="1" customWidth="1"/>
    <col min="9727" max="9727" width="11.42578125" style="1"/>
    <col min="9728" max="9728" width="14.5703125" style="1" bestFit="1" customWidth="1"/>
    <col min="9729" max="9730" width="11.42578125" style="1"/>
    <col min="9731" max="9731" width="17.5703125" style="1" bestFit="1" customWidth="1"/>
    <col min="9732" max="9732" width="19.5703125" style="1" customWidth="1"/>
    <col min="9733" max="9734" width="11.42578125" style="1"/>
    <col min="9735" max="9735" width="14" style="1" bestFit="1" customWidth="1"/>
    <col min="9736" max="9736" width="12.42578125" style="1" customWidth="1"/>
    <col min="9737" max="9976" width="11.42578125" style="1"/>
    <col min="9977" max="9977" width="5" style="1" customWidth="1"/>
    <col min="9978" max="9978" width="17.140625" style="1" bestFit="1" customWidth="1"/>
    <col min="9979" max="9981" width="11.85546875" style="1" customWidth="1"/>
    <col min="9982" max="9982" width="12.85546875" style="1" customWidth="1"/>
    <col min="9983" max="9983" width="11.42578125" style="1"/>
    <col min="9984" max="9984" width="14.5703125" style="1" bestFit="1" customWidth="1"/>
    <col min="9985" max="9986" width="11.42578125" style="1"/>
    <col min="9987" max="9987" width="17.5703125" style="1" bestFit="1" customWidth="1"/>
    <col min="9988" max="9988" width="19.5703125" style="1" customWidth="1"/>
    <col min="9989" max="9990" width="11.42578125" style="1"/>
    <col min="9991" max="9991" width="14" style="1" bestFit="1" customWidth="1"/>
    <col min="9992" max="9992" width="12.42578125" style="1" customWidth="1"/>
    <col min="9993" max="10232" width="11.42578125" style="1"/>
    <col min="10233" max="10233" width="5" style="1" customWidth="1"/>
    <col min="10234" max="10234" width="17.140625" style="1" bestFit="1" customWidth="1"/>
    <col min="10235" max="10237" width="11.85546875" style="1" customWidth="1"/>
    <col min="10238" max="10238" width="12.85546875" style="1" customWidth="1"/>
    <col min="10239" max="10239" width="11.42578125" style="1"/>
    <col min="10240" max="10240" width="14.5703125" style="1" bestFit="1" customWidth="1"/>
    <col min="10241" max="10242" width="11.42578125" style="1"/>
    <col min="10243" max="10243" width="17.5703125" style="1" bestFit="1" customWidth="1"/>
    <col min="10244" max="10244" width="19.5703125" style="1" customWidth="1"/>
    <col min="10245" max="10246" width="11.42578125" style="1"/>
    <col min="10247" max="10247" width="14" style="1" bestFit="1" customWidth="1"/>
    <col min="10248" max="10248" width="12.42578125" style="1" customWidth="1"/>
    <col min="10249" max="10488" width="11.42578125" style="1"/>
    <col min="10489" max="10489" width="5" style="1" customWidth="1"/>
    <col min="10490" max="10490" width="17.140625" style="1" bestFit="1" customWidth="1"/>
    <col min="10491" max="10493" width="11.85546875" style="1" customWidth="1"/>
    <col min="10494" max="10494" width="12.85546875" style="1" customWidth="1"/>
    <col min="10495" max="10495" width="11.42578125" style="1"/>
    <col min="10496" max="10496" width="14.5703125" style="1" bestFit="1" customWidth="1"/>
    <col min="10497" max="10498" width="11.42578125" style="1"/>
    <col min="10499" max="10499" width="17.5703125" style="1" bestFit="1" customWidth="1"/>
    <col min="10500" max="10500" width="19.5703125" style="1" customWidth="1"/>
    <col min="10501" max="10502" width="11.42578125" style="1"/>
    <col min="10503" max="10503" width="14" style="1" bestFit="1" customWidth="1"/>
    <col min="10504" max="10504" width="12.42578125" style="1" customWidth="1"/>
    <col min="10505" max="10744" width="11.42578125" style="1"/>
    <col min="10745" max="10745" width="5" style="1" customWidth="1"/>
    <col min="10746" max="10746" width="17.140625" style="1" bestFit="1" customWidth="1"/>
    <col min="10747" max="10749" width="11.85546875" style="1" customWidth="1"/>
    <col min="10750" max="10750" width="12.85546875" style="1" customWidth="1"/>
    <col min="10751" max="10751" width="11.42578125" style="1"/>
    <col min="10752" max="10752" width="14.5703125" style="1" bestFit="1" customWidth="1"/>
    <col min="10753" max="10754" width="11.42578125" style="1"/>
    <col min="10755" max="10755" width="17.5703125" style="1" bestFit="1" customWidth="1"/>
    <col min="10756" max="10756" width="19.5703125" style="1" customWidth="1"/>
    <col min="10757" max="10758" width="11.42578125" style="1"/>
    <col min="10759" max="10759" width="14" style="1" bestFit="1" customWidth="1"/>
    <col min="10760" max="10760" width="12.42578125" style="1" customWidth="1"/>
    <col min="10761" max="11000" width="11.42578125" style="1"/>
    <col min="11001" max="11001" width="5" style="1" customWidth="1"/>
    <col min="11002" max="11002" width="17.140625" style="1" bestFit="1" customWidth="1"/>
    <col min="11003" max="11005" width="11.85546875" style="1" customWidth="1"/>
    <col min="11006" max="11006" width="12.85546875" style="1" customWidth="1"/>
    <col min="11007" max="11007" width="11.42578125" style="1"/>
    <col min="11008" max="11008" width="14.5703125" style="1" bestFit="1" customWidth="1"/>
    <col min="11009" max="11010" width="11.42578125" style="1"/>
    <col min="11011" max="11011" width="17.5703125" style="1" bestFit="1" customWidth="1"/>
    <col min="11012" max="11012" width="19.5703125" style="1" customWidth="1"/>
    <col min="11013" max="11014" width="11.42578125" style="1"/>
    <col min="11015" max="11015" width="14" style="1" bestFit="1" customWidth="1"/>
    <col min="11016" max="11016" width="12.42578125" style="1" customWidth="1"/>
    <col min="11017" max="11256" width="11.42578125" style="1"/>
    <col min="11257" max="11257" width="5" style="1" customWidth="1"/>
    <col min="11258" max="11258" width="17.140625" style="1" bestFit="1" customWidth="1"/>
    <col min="11259" max="11261" width="11.85546875" style="1" customWidth="1"/>
    <col min="11262" max="11262" width="12.85546875" style="1" customWidth="1"/>
    <col min="11263" max="11263" width="11.42578125" style="1"/>
    <col min="11264" max="11264" width="14.5703125" style="1" bestFit="1" customWidth="1"/>
    <col min="11265" max="11266" width="11.42578125" style="1"/>
    <col min="11267" max="11267" width="17.5703125" style="1" bestFit="1" customWidth="1"/>
    <col min="11268" max="11268" width="19.5703125" style="1" customWidth="1"/>
    <col min="11269" max="11270" width="11.42578125" style="1"/>
    <col min="11271" max="11271" width="14" style="1" bestFit="1" customWidth="1"/>
    <col min="11272" max="11272" width="12.42578125" style="1" customWidth="1"/>
    <col min="11273" max="11512" width="11.42578125" style="1"/>
    <col min="11513" max="11513" width="5" style="1" customWidth="1"/>
    <col min="11514" max="11514" width="17.140625" style="1" bestFit="1" customWidth="1"/>
    <col min="11515" max="11517" width="11.85546875" style="1" customWidth="1"/>
    <col min="11518" max="11518" width="12.85546875" style="1" customWidth="1"/>
    <col min="11519" max="11519" width="11.42578125" style="1"/>
    <col min="11520" max="11520" width="14.5703125" style="1" bestFit="1" customWidth="1"/>
    <col min="11521" max="11522" width="11.42578125" style="1"/>
    <col min="11523" max="11523" width="17.5703125" style="1" bestFit="1" customWidth="1"/>
    <col min="11524" max="11524" width="19.5703125" style="1" customWidth="1"/>
    <col min="11525" max="11526" width="11.42578125" style="1"/>
    <col min="11527" max="11527" width="14" style="1" bestFit="1" customWidth="1"/>
    <col min="11528" max="11528" width="12.42578125" style="1" customWidth="1"/>
    <col min="11529" max="11768" width="11.42578125" style="1"/>
    <col min="11769" max="11769" width="5" style="1" customWidth="1"/>
    <col min="11770" max="11770" width="17.140625" style="1" bestFit="1" customWidth="1"/>
    <col min="11771" max="11773" width="11.85546875" style="1" customWidth="1"/>
    <col min="11774" max="11774" width="12.85546875" style="1" customWidth="1"/>
    <col min="11775" max="11775" width="11.42578125" style="1"/>
    <col min="11776" max="11776" width="14.5703125" style="1" bestFit="1" customWidth="1"/>
    <col min="11777" max="11778" width="11.42578125" style="1"/>
    <col min="11779" max="11779" width="17.5703125" style="1" bestFit="1" customWidth="1"/>
    <col min="11780" max="11780" width="19.5703125" style="1" customWidth="1"/>
    <col min="11781" max="11782" width="11.42578125" style="1"/>
    <col min="11783" max="11783" width="14" style="1" bestFit="1" customWidth="1"/>
    <col min="11784" max="11784" width="12.42578125" style="1" customWidth="1"/>
    <col min="11785" max="12024" width="11.42578125" style="1"/>
    <col min="12025" max="12025" width="5" style="1" customWidth="1"/>
    <col min="12026" max="12026" width="17.140625" style="1" bestFit="1" customWidth="1"/>
    <col min="12027" max="12029" width="11.85546875" style="1" customWidth="1"/>
    <col min="12030" max="12030" width="12.85546875" style="1" customWidth="1"/>
    <col min="12031" max="12031" width="11.42578125" style="1"/>
    <col min="12032" max="12032" width="14.5703125" style="1" bestFit="1" customWidth="1"/>
    <col min="12033" max="12034" width="11.42578125" style="1"/>
    <col min="12035" max="12035" width="17.5703125" style="1" bestFit="1" customWidth="1"/>
    <col min="12036" max="12036" width="19.5703125" style="1" customWidth="1"/>
    <col min="12037" max="12038" width="11.42578125" style="1"/>
    <col min="12039" max="12039" width="14" style="1" bestFit="1" customWidth="1"/>
    <col min="12040" max="12040" width="12.42578125" style="1" customWidth="1"/>
    <col min="12041" max="12280" width="11.42578125" style="1"/>
    <col min="12281" max="12281" width="5" style="1" customWidth="1"/>
    <col min="12282" max="12282" width="17.140625" style="1" bestFit="1" customWidth="1"/>
    <col min="12283" max="12285" width="11.85546875" style="1" customWidth="1"/>
    <col min="12286" max="12286" width="12.85546875" style="1" customWidth="1"/>
    <col min="12287" max="12287" width="11.42578125" style="1"/>
    <col min="12288" max="12288" width="14.5703125" style="1" bestFit="1" customWidth="1"/>
    <col min="12289" max="12290" width="11.42578125" style="1"/>
    <col min="12291" max="12291" width="17.5703125" style="1" bestFit="1" customWidth="1"/>
    <col min="12292" max="12292" width="19.5703125" style="1" customWidth="1"/>
    <col min="12293" max="12294" width="11.42578125" style="1"/>
    <col min="12295" max="12295" width="14" style="1" bestFit="1" customWidth="1"/>
    <col min="12296" max="12296" width="12.42578125" style="1" customWidth="1"/>
    <col min="12297" max="12536" width="11.42578125" style="1"/>
    <col min="12537" max="12537" width="5" style="1" customWidth="1"/>
    <col min="12538" max="12538" width="17.140625" style="1" bestFit="1" customWidth="1"/>
    <col min="12539" max="12541" width="11.85546875" style="1" customWidth="1"/>
    <col min="12542" max="12542" width="12.85546875" style="1" customWidth="1"/>
    <col min="12543" max="12543" width="11.42578125" style="1"/>
    <col min="12544" max="12544" width="14.5703125" style="1" bestFit="1" customWidth="1"/>
    <col min="12545" max="12546" width="11.42578125" style="1"/>
    <col min="12547" max="12547" width="17.5703125" style="1" bestFit="1" customWidth="1"/>
    <col min="12548" max="12548" width="19.5703125" style="1" customWidth="1"/>
    <col min="12549" max="12550" width="11.42578125" style="1"/>
    <col min="12551" max="12551" width="14" style="1" bestFit="1" customWidth="1"/>
    <col min="12552" max="12552" width="12.42578125" style="1" customWidth="1"/>
    <col min="12553" max="12792" width="11.42578125" style="1"/>
    <col min="12793" max="12793" width="5" style="1" customWidth="1"/>
    <col min="12794" max="12794" width="17.140625" style="1" bestFit="1" customWidth="1"/>
    <col min="12795" max="12797" width="11.85546875" style="1" customWidth="1"/>
    <col min="12798" max="12798" width="12.85546875" style="1" customWidth="1"/>
    <col min="12799" max="12799" width="11.42578125" style="1"/>
    <col min="12800" max="12800" width="14.5703125" style="1" bestFit="1" customWidth="1"/>
    <col min="12801" max="12802" width="11.42578125" style="1"/>
    <col min="12803" max="12803" width="17.5703125" style="1" bestFit="1" customWidth="1"/>
    <col min="12804" max="12804" width="19.5703125" style="1" customWidth="1"/>
    <col min="12805" max="12806" width="11.42578125" style="1"/>
    <col min="12807" max="12807" width="14" style="1" bestFit="1" customWidth="1"/>
    <col min="12808" max="12808" width="12.42578125" style="1" customWidth="1"/>
    <col min="12809" max="13048" width="11.42578125" style="1"/>
    <col min="13049" max="13049" width="5" style="1" customWidth="1"/>
    <col min="13050" max="13050" width="17.140625" style="1" bestFit="1" customWidth="1"/>
    <col min="13051" max="13053" width="11.85546875" style="1" customWidth="1"/>
    <col min="13054" max="13054" width="12.85546875" style="1" customWidth="1"/>
    <col min="13055" max="13055" width="11.42578125" style="1"/>
    <col min="13056" max="13056" width="14.5703125" style="1" bestFit="1" customWidth="1"/>
    <col min="13057" max="13058" width="11.42578125" style="1"/>
    <col min="13059" max="13059" width="17.5703125" style="1" bestFit="1" customWidth="1"/>
    <col min="13060" max="13060" width="19.5703125" style="1" customWidth="1"/>
    <col min="13061" max="13062" width="11.42578125" style="1"/>
    <col min="13063" max="13063" width="14" style="1" bestFit="1" customWidth="1"/>
    <col min="13064" max="13064" width="12.42578125" style="1" customWidth="1"/>
    <col min="13065" max="13304" width="11.42578125" style="1"/>
    <col min="13305" max="13305" width="5" style="1" customWidth="1"/>
    <col min="13306" max="13306" width="17.140625" style="1" bestFit="1" customWidth="1"/>
    <col min="13307" max="13309" width="11.85546875" style="1" customWidth="1"/>
    <col min="13310" max="13310" width="12.85546875" style="1" customWidth="1"/>
    <col min="13311" max="13311" width="11.42578125" style="1"/>
    <col min="13312" max="13312" width="14.5703125" style="1" bestFit="1" customWidth="1"/>
    <col min="13313" max="13314" width="11.42578125" style="1"/>
    <col min="13315" max="13315" width="17.5703125" style="1" bestFit="1" customWidth="1"/>
    <col min="13316" max="13316" width="19.5703125" style="1" customWidth="1"/>
    <col min="13317" max="13318" width="11.42578125" style="1"/>
    <col min="13319" max="13319" width="14" style="1" bestFit="1" customWidth="1"/>
    <col min="13320" max="13320" width="12.42578125" style="1" customWidth="1"/>
    <col min="13321" max="13560" width="11.42578125" style="1"/>
    <col min="13561" max="13561" width="5" style="1" customWidth="1"/>
    <col min="13562" max="13562" width="17.140625" style="1" bestFit="1" customWidth="1"/>
    <col min="13563" max="13565" width="11.85546875" style="1" customWidth="1"/>
    <col min="13566" max="13566" width="12.85546875" style="1" customWidth="1"/>
    <col min="13567" max="13567" width="11.42578125" style="1"/>
    <col min="13568" max="13568" width="14.5703125" style="1" bestFit="1" customWidth="1"/>
    <col min="13569" max="13570" width="11.42578125" style="1"/>
    <col min="13571" max="13571" width="17.5703125" style="1" bestFit="1" customWidth="1"/>
    <col min="13572" max="13572" width="19.5703125" style="1" customWidth="1"/>
    <col min="13573" max="13574" width="11.42578125" style="1"/>
    <col min="13575" max="13575" width="14" style="1" bestFit="1" customWidth="1"/>
    <col min="13576" max="13576" width="12.42578125" style="1" customWidth="1"/>
    <col min="13577" max="13816" width="11.42578125" style="1"/>
    <col min="13817" max="13817" width="5" style="1" customWidth="1"/>
    <col min="13818" max="13818" width="17.140625" style="1" bestFit="1" customWidth="1"/>
    <col min="13819" max="13821" width="11.85546875" style="1" customWidth="1"/>
    <col min="13822" max="13822" width="12.85546875" style="1" customWidth="1"/>
    <col min="13823" max="13823" width="11.42578125" style="1"/>
    <col min="13824" max="13824" width="14.5703125" style="1" bestFit="1" customWidth="1"/>
    <col min="13825" max="13826" width="11.42578125" style="1"/>
    <col min="13827" max="13827" width="17.5703125" style="1" bestFit="1" customWidth="1"/>
    <col min="13828" max="13828" width="19.5703125" style="1" customWidth="1"/>
    <col min="13829" max="13830" width="11.42578125" style="1"/>
    <col min="13831" max="13831" width="14" style="1" bestFit="1" customWidth="1"/>
    <col min="13832" max="13832" width="12.42578125" style="1" customWidth="1"/>
    <col min="13833" max="14072" width="11.42578125" style="1"/>
    <col min="14073" max="14073" width="5" style="1" customWidth="1"/>
    <col min="14074" max="14074" width="17.140625" style="1" bestFit="1" customWidth="1"/>
    <col min="14075" max="14077" width="11.85546875" style="1" customWidth="1"/>
    <col min="14078" max="14078" width="12.85546875" style="1" customWidth="1"/>
    <col min="14079" max="14079" width="11.42578125" style="1"/>
    <col min="14080" max="14080" width="14.5703125" style="1" bestFit="1" customWidth="1"/>
    <col min="14081" max="14082" width="11.42578125" style="1"/>
    <col min="14083" max="14083" width="17.5703125" style="1" bestFit="1" customWidth="1"/>
    <col min="14084" max="14084" width="19.5703125" style="1" customWidth="1"/>
    <col min="14085" max="14086" width="11.42578125" style="1"/>
    <col min="14087" max="14087" width="14" style="1" bestFit="1" customWidth="1"/>
    <col min="14088" max="14088" width="12.42578125" style="1" customWidth="1"/>
    <col min="14089" max="14328" width="11.42578125" style="1"/>
    <col min="14329" max="14329" width="5" style="1" customWidth="1"/>
    <col min="14330" max="14330" width="17.140625" style="1" bestFit="1" customWidth="1"/>
    <col min="14331" max="14333" width="11.85546875" style="1" customWidth="1"/>
    <col min="14334" max="14334" width="12.85546875" style="1" customWidth="1"/>
    <col min="14335" max="14335" width="11.42578125" style="1"/>
    <col min="14336" max="14336" width="14.5703125" style="1" bestFit="1" customWidth="1"/>
    <col min="14337" max="14338" width="11.42578125" style="1"/>
    <col min="14339" max="14339" width="17.5703125" style="1" bestFit="1" customWidth="1"/>
    <col min="14340" max="14340" width="19.5703125" style="1" customWidth="1"/>
    <col min="14341" max="14342" width="11.42578125" style="1"/>
    <col min="14343" max="14343" width="14" style="1" bestFit="1" customWidth="1"/>
    <col min="14344" max="14344" width="12.42578125" style="1" customWidth="1"/>
    <col min="14345" max="14584" width="11.42578125" style="1"/>
    <col min="14585" max="14585" width="5" style="1" customWidth="1"/>
    <col min="14586" max="14586" width="17.140625" style="1" bestFit="1" customWidth="1"/>
    <col min="14587" max="14589" width="11.85546875" style="1" customWidth="1"/>
    <col min="14590" max="14590" width="12.85546875" style="1" customWidth="1"/>
    <col min="14591" max="14591" width="11.42578125" style="1"/>
    <col min="14592" max="14592" width="14.5703125" style="1" bestFit="1" customWidth="1"/>
    <col min="14593" max="14594" width="11.42578125" style="1"/>
    <col min="14595" max="14595" width="17.5703125" style="1" bestFit="1" customWidth="1"/>
    <col min="14596" max="14596" width="19.5703125" style="1" customWidth="1"/>
    <col min="14597" max="14598" width="11.42578125" style="1"/>
    <col min="14599" max="14599" width="14" style="1" bestFit="1" customWidth="1"/>
    <col min="14600" max="14600" width="12.42578125" style="1" customWidth="1"/>
    <col min="14601" max="14840" width="11.42578125" style="1"/>
    <col min="14841" max="14841" width="5" style="1" customWidth="1"/>
    <col min="14842" max="14842" width="17.140625" style="1" bestFit="1" customWidth="1"/>
    <col min="14843" max="14845" width="11.85546875" style="1" customWidth="1"/>
    <col min="14846" max="14846" width="12.85546875" style="1" customWidth="1"/>
    <col min="14847" max="14847" width="11.42578125" style="1"/>
    <col min="14848" max="14848" width="14.5703125" style="1" bestFit="1" customWidth="1"/>
    <col min="14849" max="14850" width="11.42578125" style="1"/>
    <col min="14851" max="14851" width="17.5703125" style="1" bestFit="1" customWidth="1"/>
    <col min="14852" max="14852" width="19.5703125" style="1" customWidth="1"/>
    <col min="14853" max="14854" width="11.42578125" style="1"/>
    <col min="14855" max="14855" width="14" style="1" bestFit="1" customWidth="1"/>
    <col min="14856" max="14856" width="12.42578125" style="1" customWidth="1"/>
    <col min="14857" max="15096" width="11.42578125" style="1"/>
    <col min="15097" max="15097" width="5" style="1" customWidth="1"/>
    <col min="15098" max="15098" width="17.140625" style="1" bestFit="1" customWidth="1"/>
    <col min="15099" max="15101" width="11.85546875" style="1" customWidth="1"/>
    <col min="15102" max="15102" width="12.85546875" style="1" customWidth="1"/>
    <col min="15103" max="15103" width="11.42578125" style="1"/>
    <col min="15104" max="15104" width="14.5703125" style="1" bestFit="1" customWidth="1"/>
    <col min="15105" max="15106" width="11.42578125" style="1"/>
    <col min="15107" max="15107" width="17.5703125" style="1" bestFit="1" customWidth="1"/>
    <col min="15108" max="15108" width="19.5703125" style="1" customWidth="1"/>
    <col min="15109" max="15110" width="11.42578125" style="1"/>
    <col min="15111" max="15111" width="14" style="1" bestFit="1" customWidth="1"/>
    <col min="15112" max="15112" width="12.42578125" style="1" customWidth="1"/>
    <col min="15113" max="15352" width="11.42578125" style="1"/>
    <col min="15353" max="15353" width="5" style="1" customWidth="1"/>
    <col min="15354" max="15354" width="17.140625" style="1" bestFit="1" customWidth="1"/>
    <col min="15355" max="15357" width="11.85546875" style="1" customWidth="1"/>
    <col min="15358" max="15358" width="12.85546875" style="1" customWidth="1"/>
    <col min="15359" max="15359" width="11.42578125" style="1"/>
    <col min="15360" max="15360" width="14.5703125" style="1" bestFit="1" customWidth="1"/>
    <col min="15361" max="15362" width="11.42578125" style="1"/>
    <col min="15363" max="15363" width="17.5703125" style="1" bestFit="1" customWidth="1"/>
    <col min="15364" max="15364" width="19.5703125" style="1" customWidth="1"/>
    <col min="15365" max="15366" width="11.42578125" style="1"/>
    <col min="15367" max="15367" width="14" style="1" bestFit="1" customWidth="1"/>
    <col min="15368" max="15368" width="12.42578125" style="1" customWidth="1"/>
    <col min="15369" max="15608" width="11.42578125" style="1"/>
    <col min="15609" max="15609" width="5" style="1" customWidth="1"/>
    <col min="15610" max="15610" width="17.140625" style="1" bestFit="1" customWidth="1"/>
    <col min="15611" max="15613" width="11.85546875" style="1" customWidth="1"/>
    <col min="15614" max="15614" width="12.85546875" style="1" customWidth="1"/>
    <col min="15615" max="15615" width="11.42578125" style="1"/>
    <col min="15616" max="15616" width="14.5703125" style="1" bestFit="1" customWidth="1"/>
    <col min="15617" max="15618" width="11.42578125" style="1"/>
    <col min="15619" max="15619" width="17.5703125" style="1" bestFit="1" customWidth="1"/>
    <col min="15620" max="15620" width="19.5703125" style="1" customWidth="1"/>
    <col min="15621" max="15622" width="11.42578125" style="1"/>
    <col min="15623" max="15623" width="14" style="1" bestFit="1" customWidth="1"/>
    <col min="15624" max="15624" width="12.42578125" style="1" customWidth="1"/>
    <col min="15625" max="15864" width="11.42578125" style="1"/>
    <col min="15865" max="15865" width="5" style="1" customWidth="1"/>
    <col min="15866" max="15866" width="17.140625" style="1" bestFit="1" customWidth="1"/>
    <col min="15867" max="15869" width="11.85546875" style="1" customWidth="1"/>
    <col min="15870" max="15870" width="12.85546875" style="1" customWidth="1"/>
    <col min="15871" max="15871" width="11.42578125" style="1"/>
    <col min="15872" max="15872" width="14.5703125" style="1" bestFit="1" customWidth="1"/>
    <col min="15873" max="15874" width="11.42578125" style="1"/>
    <col min="15875" max="15875" width="17.5703125" style="1" bestFit="1" customWidth="1"/>
    <col min="15876" max="15876" width="19.5703125" style="1" customWidth="1"/>
    <col min="15877" max="15878" width="11.42578125" style="1"/>
    <col min="15879" max="15879" width="14" style="1" bestFit="1" customWidth="1"/>
    <col min="15880" max="15880" width="12.42578125" style="1" customWidth="1"/>
    <col min="15881" max="16120" width="11.42578125" style="1"/>
    <col min="16121" max="16121" width="5" style="1" customWidth="1"/>
    <col min="16122" max="16122" width="17.140625" style="1" bestFit="1" customWidth="1"/>
    <col min="16123" max="16125" width="11.85546875" style="1" customWidth="1"/>
    <col min="16126" max="16126" width="12.85546875" style="1" customWidth="1"/>
    <col min="16127" max="16127" width="11.42578125" style="1"/>
    <col min="16128" max="16128" width="14.5703125" style="1" bestFit="1" customWidth="1"/>
    <col min="16129" max="16130" width="11.42578125" style="1"/>
    <col min="16131" max="16131" width="17.5703125" style="1" bestFit="1" customWidth="1"/>
    <col min="16132" max="16132" width="19.5703125" style="1" customWidth="1"/>
    <col min="16133" max="16134" width="11.42578125" style="1"/>
    <col min="16135" max="16135" width="14" style="1" bestFit="1" customWidth="1"/>
    <col min="16136" max="16136" width="12.42578125" style="1" customWidth="1"/>
    <col min="16137" max="16384" width="11.42578125" style="1"/>
  </cols>
  <sheetData>
    <row r="1" spans="1:16" x14ac:dyDescent="0.3">
      <c r="E1" s="51"/>
      <c r="F1" s="51"/>
      <c r="G1" s="51"/>
      <c r="H1" s="51"/>
      <c r="L1" s="55"/>
      <c r="N1" s="60">
        <v>9</v>
      </c>
      <c r="O1" s="60">
        <v>10</v>
      </c>
      <c r="P1" s="56"/>
    </row>
    <row r="2" spans="1:16" ht="17.25" thickBot="1" x14ac:dyDescent="0.35">
      <c r="C2" s="72" t="s">
        <v>0</v>
      </c>
      <c r="D2" s="72"/>
      <c r="E2" s="3"/>
      <c r="F2" s="17" t="s">
        <v>1</v>
      </c>
      <c r="G2" s="2"/>
      <c r="H2" s="2"/>
      <c r="I2" s="2"/>
      <c r="J2" s="2"/>
      <c r="K2" s="2"/>
      <c r="L2" s="2"/>
      <c r="M2" s="2"/>
      <c r="N2" s="55" t="s">
        <v>19</v>
      </c>
      <c r="O2" s="55" t="s">
        <v>20</v>
      </c>
      <c r="P2" s="56"/>
    </row>
    <row r="3" spans="1:16" ht="20.25" thickBot="1" x14ac:dyDescent="0.45">
      <c r="C3" s="29">
        <f>+ENERO!$C$3</f>
        <v>0</v>
      </c>
      <c r="D3" s="30"/>
      <c r="E3" s="30"/>
      <c r="F3" s="31" t="s">
        <v>22</v>
      </c>
      <c r="G3" s="2"/>
      <c r="H3" s="52">
        <v>2.0833333333333332E-2</v>
      </c>
      <c r="I3" s="53">
        <v>0.33333333333333331</v>
      </c>
      <c r="J3" s="2"/>
      <c r="K3" s="2"/>
      <c r="N3" s="59">
        <f>J37</f>
        <v>-170</v>
      </c>
      <c r="O3" s="59">
        <f>K37</f>
        <v>0</v>
      </c>
      <c r="P3" s="57"/>
    </row>
    <row r="4" spans="1:16" ht="17.25" thickBot="1" x14ac:dyDescent="0.35">
      <c r="C4" s="2"/>
      <c r="D4" s="2"/>
      <c r="E4" s="3"/>
      <c r="F4" s="2"/>
      <c r="G4" s="2"/>
      <c r="H4" s="2"/>
      <c r="I4" s="2"/>
      <c r="J4" s="2"/>
      <c r="K4" s="2"/>
      <c r="L4" s="2"/>
      <c r="M4" s="2"/>
      <c r="P4" s="70" t="s">
        <v>21</v>
      </c>
    </row>
    <row r="5" spans="1:16" ht="18.75" thickBot="1" x14ac:dyDescent="0.4">
      <c r="B5" s="19" t="s">
        <v>2</v>
      </c>
      <c r="C5" s="20" t="s">
        <v>3</v>
      </c>
      <c r="D5" s="20" t="s">
        <v>4</v>
      </c>
      <c r="E5" s="20" t="s">
        <v>3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9</v>
      </c>
      <c r="K5" s="20" t="s">
        <v>10</v>
      </c>
      <c r="L5" s="21" t="s">
        <v>11</v>
      </c>
      <c r="M5" s="2"/>
      <c r="N5" s="71">
        <f>+N3*N1</f>
        <v>-1530</v>
      </c>
      <c r="O5" s="71">
        <f>+O3*O1</f>
        <v>0</v>
      </c>
      <c r="P5" s="71">
        <f>+O5+N5</f>
        <v>-1530</v>
      </c>
    </row>
    <row r="6" spans="1:16" x14ac:dyDescent="0.3">
      <c r="A6" s="4" t="s">
        <v>15</v>
      </c>
      <c r="B6" s="23">
        <v>45992</v>
      </c>
      <c r="C6" s="38">
        <v>0</v>
      </c>
      <c r="D6" s="38">
        <v>0</v>
      </c>
      <c r="E6" s="38">
        <v>0</v>
      </c>
      <c r="F6" s="38">
        <v>0</v>
      </c>
      <c r="G6" s="44">
        <f t="shared" ref="G6:G13" si="0">(F6*24-E6*24)+(D6*24-C6*24)</f>
        <v>0</v>
      </c>
      <c r="H6" s="42">
        <f>+$H$3*24</f>
        <v>0.5</v>
      </c>
      <c r="I6" s="42">
        <f>+$I$3*24</f>
        <v>8</v>
      </c>
      <c r="J6" s="42">
        <f>G6-I6-H6</f>
        <v>-8.5</v>
      </c>
      <c r="K6" s="39"/>
      <c r="L6" s="24"/>
      <c r="M6" s="2"/>
      <c r="N6" s="15"/>
      <c r="O6" s="15"/>
      <c r="P6" s="15"/>
    </row>
    <row r="7" spans="1:16" x14ac:dyDescent="0.3">
      <c r="A7" s="4" t="s">
        <v>16</v>
      </c>
      <c r="B7" s="23">
        <v>45993</v>
      </c>
      <c r="C7" s="38">
        <v>0</v>
      </c>
      <c r="D7" s="38">
        <v>0</v>
      </c>
      <c r="E7" s="38">
        <v>0</v>
      </c>
      <c r="F7" s="38">
        <v>0</v>
      </c>
      <c r="G7" s="44">
        <f t="shared" si="0"/>
        <v>0</v>
      </c>
      <c r="H7" s="42">
        <f>+$H$3*24</f>
        <v>0.5</v>
      </c>
      <c r="I7" s="42">
        <f>+$I$3*24</f>
        <v>8</v>
      </c>
      <c r="J7" s="42">
        <f>G7-I7-H7</f>
        <v>-8.5</v>
      </c>
      <c r="K7" s="39"/>
      <c r="L7" s="24"/>
      <c r="M7" s="2"/>
      <c r="N7" s="15"/>
      <c r="O7" s="15"/>
      <c r="P7" s="15"/>
    </row>
    <row r="8" spans="1:16" x14ac:dyDescent="0.3">
      <c r="A8" s="4" t="s">
        <v>17</v>
      </c>
      <c r="B8" s="23">
        <v>45994</v>
      </c>
      <c r="C8" s="38">
        <v>0</v>
      </c>
      <c r="D8" s="38">
        <v>0</v>
      </c>
      <c r="E8" s="38">
        <v>0</v>
      </c>
      <c r="F8" s="38">
        <v>0</v>
      </c>
      <c r="G8" s="44">
        <f t="shared" si="0"/>
        <v>0</v>
      </c>
      <c r="H8" s="42">
        <f>+$H$3*24</f>
        <v>0.5</v>
      </c>
      <c r="I8" s="42">
        <f>+$I$3*24</f>
        <v>8</v>
      </c>
      <c r="J8" s="42">
        <f>G8-I8-H8</f>
        <v>-8.5</v>
      </c>
      <c r="K8" s="39"/>
      <c r="L8" s="24"/>
      <c r="M8" s="2"/>
      <c r="P8" s="16"/>
    </row>
    <row r="9" spans="1:16" x14ac:dyDescent="0.3">
      <c r="A9" s="4" t="s">
        <v>18</v>
      </c>
      <c r="B9" s="23">
        <v>45995</v>
      </c>
      <c r="C9" s="38">
        <v>0</v>
      </c>
      <c r="D9" s="38">
        <v>0</v>
      </c>
      <c r="E9" s="38">
        <v>0</v>
      </c>
      <c r="F9" s="38">
        <v>0</v>
      </c>
      <c r="G9" s="44">
        <f t="shared" si="0"/>
        <v>0</v>
      </c>
      <c r="H9" s="42">
        <f>+$H$3*24</f>
        <v>0.5</v>
      </c>
      <c r="I9" s="42">
        <f>+$I$3*24</f>
        <v>8</v>
      </c>
      <c r="J9" s="42">
        <f>G9-I9-H9</f>
        <v>-8.5</v>
      </c>
      <c r="K9" s="39"/>
      <c r="L9" s="24"/>
      <c r="M9" s="2"/>
    </row>
    <row r="10" spans="1:16" x14ac:dyDescent="0.3">
      <c r="A10" s="4" t="s">
        <v>12</v>
      </c>
      <c r="B10" s="23">
        <v>45996</v>
      </c>
      <c r="C10" s="38">
        <v>0</v>
      </c>
      <c r="D10" s="38">
        <v>0</v>
      </c>
      <c r="E10" s="38">
        <v>0</v>
      </c>
      <c r="F10" s="38">
        <v>0</v>
      </c>
      <c r="G10" s="44">
        <f t="shared" si="0"/>
        <v>0</v>
      </c>
      <c r="H10" s="42">
        <f>+$H$3*24</f>
        <v>0.5</v>
      </c>
      <c r="I10" s="42">
        <f>+$I$3*24</f>
        <v>8</v>
      </c>
      <c r="J10" s="42">
        <f>G10-I10-H10</f>
        <v>-8.5</v>
      </c>
      <c r="K10" s="39"/>
      <c r="L10" s="24"/>
      <c r="M10" s="2"/>
    </row>
    <row r="11" spans="1:16" s="41" customFormat="1" x14ac:dyDescent="0.3">
      <c r="A11" s="5" t="s">
        <v>13</v>
      </c>
      <c r="B11" s="25">
        <v>45997</v>
      </c>
      <c r="C11" s="37">
        <v>0</v>
      </c>
      <c r="D11" s="37">
        <v>0</v>
      </c>
      <c r="E11" s="37">
        <v>0</v>
      </c>
      <c r="F11" s="37">
        <v>0</v>
      </c>
      <c r="G11" s="43">
        <f t="shared" si="0"/>
        <v>0</v>
      </c>
      <c r="H11" s="43">
        <v>0</v>
      </c>
      <c r="I11" s="43">
        <v>0</v>
      </c>
      <c r="J11" s="18"/>
      <c r="K11" s="18">
        <f t="shared" ref="K11:K13" si="1">G11-I11+H11</f>
        <v>0</v>
      </c>
      <c r="L11" s="22"/>
      <c r="M11" s="40"/>
      <c r="N11" s="58"/>
      <c r="O11" s="58"/>
      <c r="P11" s="58"/>
    </row>
    <row r="12" spans="1:16" s="41" customFormat="1" x14ac:dyDescent="0.3">
      <c r="A12" s="5" t="s">
        <v>14</v>
      </c>
      <c r="B12" s="25">
        <v>45998</v>
      </c>
      <c r="C12" s="37">
        <v>0</v>
      </c>
      <c r="D12" s="37">
        <v>0</v>
      </c>
      <c r="E12" s="37">
        <v>0</v>
      </c>
      <c r="F12" s="37">
        <v>0</v>
      </c>
      <c r="G12" s="43">
        <f t="shared" si="0"/>
        <v>0</v>
      </c>
      <c r="H12" s="43">
        <v>0</v>
      </c>
      <c r="I12" s="43">
        <v>0</v>
      </c>
      <c r="J12" s="18"/>
      <c r="K12" s="18">
        <f t="shared" si="1"/>
        <v>0</v>
      </c>
      <c r="L12" s="22"/>
      <c r="M12" s="40"/>
      <c r="N12" s="58"/>
      <c r="O12" s="58"/>
      <c r="P12" s="58"/>
    </row>
    <row r="13" spans="1:16" s="41" customFormat="1" x14ac:dyDescent="0.3">
      <c r="A13" s="5" t="s">
        <v>15</v>
      </c>
      <c r="B13" s="25">
        <v>45999</v>
      </c>
      <c r="C13" s="37">
        <v>0</v>
      </c>
      <c r="D13" s="37">
        <v>0</v>
      </c>
      <c r="E13" s="37">
        <v>0</v>
      </c>
      <c r="F13" s="37">
        <v>0</v>
      </c>
      <c r="G13" s="43">
        <f t="shared" si="0"/>
        <v>0</v>
      </c>
      <c r="H13" s="43">
        <v>0</v>
      </c>
      <c r="I13" s="43">
        <v>0</v>
      </c>
      <c r="J13" s="18"/>
      <c r="K13" s="18">
        <f t="shared" si="1"/>
        <v>0</v>
      </c>
      <c r="L13" s="22"/>
      <c r="M13" s="40"/>
      <c r="N13" s="58"/>
      <c r="O13" s="58"/>
      <c r="P13" s="58"/>
    </row>
    <row r="14" spans="1:16" x14ac:dyDescent="0.3">
      <c r="A14" s="4" t="s">
        <v>16</v>
      </c>
      <c r="B14" s="23">
        <v>46000</v>
      </c>
      <c r="C14" s="38">
        <v>0</v>
      </c>
      <c r="D14" s="38">
        <v>0</v>
      </c>
      <c r="E14" s="38">
        <v>0</v>
      </c>
      <c r="F14" s="38">
        <v>0</v>
      </c>
      <c r="G14" s="44">
        <f t="shared" ref="G14:G19" si="2">(F14*24-E14*24)+(D14*24-C14*24)</f>
        <v>0</v>
      </c>
      <c r="H14" s="42">
        <f>+$H$3*24</f>
        <v>0.5</v>
      </c>
      <c r="I14" s="42">
        <f>+$I$3*24</f>
        <v>8</v>
      </c>
      <c r="J14" s="42">
        <f>G14-I14-H14</f>
        <v>-8.5</v>
      </c>
      <c r="K14" s="39"/>
      <c r="L14" s="24"/>
      <c r="M14" s="2"/>
    </row>
    <row r="15" spans="1:16" x14ac:dyDescent="0.3">
      <c r="A15" s="4" t="s">
        <v>17</v>
      </c>
      <c r="B15" s="23">
        <v>46001</v>
      </c>
      <c r="C15" s="38">
        <v>0</v>
      </c>
      <c r="D15" s="38">
        <v>0</v>
      </c>
      <c r="E15" s="38">
        <v>0</v>
      </c>
      <c r="F15" s="38">
        <v>0</v>
      </c>
      <c r="G15" s="44">
        <f t="shared" si="2"/>
        <v>0</v>
      </c>
      <c r="H15" s="42">
        <f>+$H$3*24</f>
        <v>0.5</v>
      </c>
      <c r="I15" s="42">
        <f>+$I$3*24</f>
        <v>8</v>
      </c>
      <c r="J15" s="42">
        <f>G15-I15-H15</f>
        <v>-8.5</v>
      </c>
      <c r="K15" s="39"/>
      <c r="L15" s="24"/>
      <c r="M15" s="2"/>
    </row>
    <row r="16" spans="1:16" x14ac:dyDescent="0.3">
      <c r="A16" s="4" t="s">
        <v>18</v>
      </c>
      <c r="B16" s="23">
        <v>46002</v>
      </c>
      <c r="C16" s="38">
        <v>0</v>
      </c>
      <c r="D16" s="38">
        <v>0</v>
      </c>
      <c r="E16" s="38">
        <v>0</v>
      </c>
      <c r="F16" s="38">
        <v>0</v>
      </c>
      <c r="G16" s="44">
        <f t="shared" si="2"/>
        <v>0</v>
      </c>
      <c r="H16" s="42">
        <f>+$H$3*24</f>
        <v>0.5</v>
      </c>
      <c r="I16" s="42">
        <f>+$I$3*24</f>
        <v>8</v>
      </c>
      <c r="J16" s="42">
        <f>G16-I16-H16</f>
        <v>-8.5</v>
      </c>
      <c r="K16" s="39"/>
      <c r="L16" s="24"/>
      <c r="M16" s="2"/>
    </row>
    <row r="17" spans="1:16" x14ac:dyDescent="0.3">
      <c r="A17" s="4" t="s">
        <v>12</v>
      </c>
      <c r="B17" s="23">
        <v>46003</v>
      </c>
      <c r="C17" s="38">
        <v>0</v>
      </c>
      <c r="D17" s="38">
        <v>0</v>
      </c>
      <c r="E17" s="38">
        <v>0</v>
      </c>
      <c r="F17" s="38">
        <v>0</v>
      </c>
      <c r="G17" s="44">
        <f t="shared" si="2"/>
        <v>0</v>
      </c>
      <c r="H17" s="42">
        <f>+$H$3*24</f>
        <v>0.5</v>
      </c>
      <c r="I17" s="42">
        <f>+$I$3*24</f>
        <v>8</v>
      </c>
      <c r="J17" s="42">
        <f>G17-I17-H17</f>
        <v>-8.5</v>
      </c>
      <c r="K17" s="39"/>
      <c r="L17" s="24"/>
      <c r="M17" s="2"/>
    </row>
    <row r="18" spans="1:16" s="41" customFormat="1" x14ac:dyDescent="0.3">
      <c r="A18" s="5" t="s">
        <v>13</v>
      </c>
      <c r="B18" s="25">
        <v>46004</v>
      </c>
      <c r="C18" s="37">
        <v>0</v>
      </c>
      <c r="D18" s="37">
        <v>0</v>
      </c>
      <c r="E18" s="37">
        <v>0</v>
      </c>
      <c r="F18" s="37">
        <v>0</v>
      </c>
      <c r="G18" s="43">
        <f t="shared" si="2"/>
        <v>0</v>
      </c>
      <c r="H18" s="43">
        <v>0</v>
      </c>
      <c r="I18" s="43">
        <v>0</v>
      </c>
      <c r="J18" s="18"/>
      <c r="K18" s="18">
        <f t="shared" ref="K18:K19" si="3">G18-I18+H18</f>
        <v>0</v>
      </c>
      <c r="L18" s="22"/>
      <c r="M18" s="40"/>
      <c r="N18" s="58"/>
      <c r="O18" s="58"/>
      <c r="P18" s="58"/>
    </row>
    <row r="19" spans="1:16" s="41" customFormat="1" x14ac:dyDescent="0.3">
      <c r="A19" s="5" t="s">
        <v>14</v>
      </c>
      <c r="B19" s="25">
        <v>46005</v>
      </c>
      <c r="C19" s="37">
        <v>0</v>
      </c>
      <c r="D19" s="37">
        <v>0</v>
      </c>
      <c r="E19" s="37">
        <v>0</v>
      </c>
      <c r="F19" s="37">
        <v>0</v>
      </c>
      <c r="G19" s="43">
        <f t="shared" si="2"/>
        <v>0</v>
      </c>
      <c r="H19" s="43">
        <v>0</v>
      </c>
      <c r="I19" s="43">
        <v>0</v>
      </c>
      <c r="J19" s="18"/>
      <c r="K19" s="18">
        <f t="shared" si="3"/>
        <v>0</v>
      </c>
      <c r="L19" s="22"/>
      <c r="M19" s="40"/>
      <c r="N19" s="58"/>
      <c r="O19" s="58"/>
      <c r="P19" s="58"/>
    </row>
    <row r="20" spans="1:16" x14ac:dyDescent="0.3">
      <c r="A20" s="4" t="s">
        <v>15</v>
      </c>
      <c r="B20" s="23">
        <v>46006</v>
      </c>
      <c r="C20" s="38">
        <v>0</v>
      </c>
      <c r="D20" s="38">
        <v>0</v>
      </c>
      <c r="E20" s="38">
        <v>0</v>
      </c>
      <c r="F20" s="38">
        <v>0</v>
      </c>
      <c r="G20" s="44">
        <f t="shared" ref="G20:G26" si="4">(F20*24-E20*24)+(D20*24-C20*24)</f>
        <v>0</v>
      </c>
      <c r="H20" s="42">
        <f>+$H$3*24</f>
        <v>0.5</v>
      </c>
      <c r="I20" s="42">
        <f>+$I$3*24</f>
        <v>8</v>
      </c>
      <c r="J20" s="42">
        <f>G20-I20-H20</f>
        <v>-8.5</v>
      </c>
      <c r="K20" s="39"/>
      <c r="L20" s="24"/>
      <c r="M20" s="2"/>
    </row>
    <row r="21" spans="1:16" x14ac:dyDescent="0.3">
      <c r="A21" s="4" t="s">
        <v>16</v>
      </c>
      <c r="B21" s="23">
        <v>46007</v>
      </c>
      <c r="C21" s="38">
        <v>0</v>
      </c>
      <c r="D21" s="38">
        <v>0</v>
      </c>
      <c r="E21" s="38">
        <v>0</v>
      </c>
      <c r="F21" s="38">
        <v>0</v>
      </c>
      <c r="G21" s="44">
        <f t="shared" si="4"/>
        <v>0</v>
      </c>
      <c r="H21" s="42">
        <f>+$H$3*24</f>
        <v>0.5</v>
      </c>
      <c r="I21" s="42">
        <f>+$I$3*24</f>
        <v>8</v>
      </c>
      <c r="J21" s="42">
        <f>G21-I21-H21</f>
        <v>-8.5</v>
      </c>
      <c r="K21" s="39"/>
      <c r="L21" s="24"/>
      <c r="M21" s="2"/>
    </row>
    <row r="22" spans="1:16" x14ac:dyDescent="0.3">
      <c r="A22" s="4" t="s">
        <v>17</v>
      </c>
      <c r="B22" s="23">
        <v>46008</v>
      </c>
      <c r="C22" s="38">
        <v>0</v>
      </c>
      <c r="D22" s="38">
        <v>0</v>
      </c>
      <c r="E22" s="38">
        <v>0</v>
      </c>
      <c r="F22" s="38">
        <v>0</v>
      </c>
      <c r="G22" s="44">
        <f t="shared" si="4"/>
        <v>0</v>
      </c>
      <c r="H22" s="42">
        <f>+$H$3*24</f>
        <v>0.5</v>
      </c>
      <c r="I22" s="42">
        <f>+$I$3*24</f>
        <v>8</v>
      </c>
      <c r="J22" s="42">
        <f>G22-I22-H22</f>
        <v>-8.5</v>
      </c>
      <c r="K22" s="39"/>
      <c r="L22" s="24"/>
      <c r="M22" s="2"/>
    </row>
    <row r="23" spans="1:16" x14ac:dyDescent="0.3">
      <c r="A23" s="4" t="s">
        <v>18</v>
      </c>
      <c r="B23" s="23">
        <v>46009</v>
      </c>
      <c r="C23" s="38">
        <v>0</v>
      </c>
      <c r="D23" s="38">
        <v>0</v>
      </c>
      <c r="E23" s="38">
        <v>0</v>
      </c>
      <c r="F23" s="38">
        <v>0</v>
      </c>
      <c r="G23" s="44">
        <f t="shared" si="4"/>
        <v>0</v>
      </c>
      <c r="H23" s="42">
        <f>+$H$3*24</f>
        <v>0.5</v>
      </c>
      <c r="I23" s="42">
        <f>+$I$3*24</f>
        <v>8</v>
      </c>
      <c r="J23" s="42">
        <f>G23-I23-H23</f>
        <v>-8.5</v>
      </c>
      <c r="K23" s="39"/>
      <c r="L23" s="24"/>
      <c r="M23" s="2"/>
    </row>
    <row r="24" spans="1:16" x14ac:dyDescent="0.3">
      <c r="A24" s="4" t="s">
        <v>12</v>
      </c>
      <c r="B24" s="23">
        <v>46010</v>
      </c>
      <c r="C24" s="38">
        <v>0</v>
      </c>
      <c r="D24" s="38">
        <v>0</v>
      </c>
      <c r="E24" s="38">
        <v>0</v>
      </c>
      <c r="F24" s="38">
        <v>0</v>
      </c>
      <c r="G24" s="44">
        <f t="shared" si="4"/>
        <v>0</v>
      </c>
      <c r="H24" s="42">
        <f>+$H$3*24</f>
        <v>0.5</v>
      </c>
      <c r="I24" s="42">
        <f>+$I$3*24</f>
        <v>8</v>
      </c>
      <c r="J24" s="42">
        <f>G24-I24-H24</f>
        <v>-8.5</v>
      </c>
      <c r="K24" s="39"/>
      <c r="L24" s="24"/>
      <c r="M24" s="2"/>
    </row>
    <row r="25" spans="1:16" s="41" customFormat="1" x14ac:dyDescent="0.3">
      <c r="A25" s="5" t="s">
        <v>13</v>
      </c>
      <c r="B25" s="25">
        <v>46011</v>
      </c>
      <c r="C25" s="37">
        <v>0</v>
      </c>
      <c r="D25" s="37">
        <v>0</v>
      </c>
      <c r="E25" s="37">
        <v>0</v>
      </c>
      <c r="F25" s="37">
        <v>0</v>
      </c>
      <c r="G25" s="43">
        <f t="shared" si="4"/>
        <v>0</v>
      </c>
      <c r="H25" s="43">
        <v>0</v>
      </c>
      <c r="I25" s="43">
        <v>0</v>
      </c>
      <c r="J25" s="18"/>
      <c r="K25" s="18">
        <f t="shared" ref="K25:K26" si="5">G25-I25+H25</f>
        <v>0</v>
      </c>
      <c r="L25" s="22"/>
      <c r="M25" s="40"/>
      <c r="N25" s="58"/>
      <c r="O25" s="58"/>
      <c r="P25" s="58"/>
    </row>
    <row r="26" spans="1:16" s="41" customFormat="1" x14ac:dyDescent="0.3">
      <c r="A26" s="5" t="s">
        <v>14</v>
      </c>
      <c r="B26" s="25">
        <v>46012</v>
      </c>
      <c r="C26" s="37">
        <v>0</v>
      </c>
      <c r="D26" s="37">
        <v>0</v>
      </c>
      <c r="E26" s="37">
        <v>0</v>
      </c>
      <c r="F26" s="37">
        <v>0</v>
      </c>
      <c r="G26" s="43">
        <f t="shared" si="4"/>
        <v>0</v>
      </c>
      <c r="H26" s="43">
        <v>0</v>
      </c>
      <c r="I26" s="43">
        <v>0</v>
      </c>
      <c r="J26" s="18"/>
      <c r="K26" s="18">
        <f t="shared" si="5"/>
        <v>0</v>
      </c>
      <c r="L26" s="22"/>
      <c r="M26" s="40"/>
      <c r="N26" s="58"/>
      <c r="O26" s="58"/>
      <c r="P26" s="58"/>
    </row>
    <row r="27" spans="1:16" x14ac:dyDescent="0.3">
      <c r="A27" s="4" t="s">
        <v>15</v>
      </c>
      <c r="B27" s="23">
        <v>46013</v>
      </c>
      <c r="C27" s="38">
        <v>0</v>
      </c>
      <c r="D27" s="38">
        <v>0</v>
      </c>
      <c r="E27" s="38">
        <v>0</v>
      </c>
      <c r="F27" s="38">
        <v>0</v>
      </c>
      <c r="G27" s="44">
        <f t="shared" ref="G27:G33" si="6">(F27*24-E27*24)+(D27*24-C27*24)</f>
        <v>0</v>
      </c>
      <c r="H27" s="42">
        <f>+$H$3*24</f>
        <v>0.5</v>
      </c>
      <c r="I27" s="42">
        <f>+$I$3*24</f>
        <v>8</v>
      </c>
      <c r="J27" s="42">
        <f>G27-I27-H27</f>
        <v>-8.5</v>
      </c>
      <c r="K27" s="39"/>
      <c r="L27" s="24"/>
      <c r="M27" s="2"/>
    </row>
    <row r="28" spans="1:16" x14ac:dyDescent="0.3">
      <c r="A28" s="4" t="s">
        <v>16</v>
      </c>
      <c r="B28" s="23">
        <v>46014</v>
      </c>
      <c r="C28" s="38">
        <v>0</v>
      </c>
      <c r="D28" s="38">
        <v>0</v>
      </c>
      <c r="E28" s="38">
        <v>0</v>
      </c>
      <c r="F28" s="38">
        <v>0</v>
      </c>
      <c r="G28" s="44">
        <f t="shared" si="6"/>
        <v>0</v>
      </c>
      <c r="H28" s="42">
        <f>+$H$3*24</f>
        <v>0.5</v>
      </c>
      <c r="I28" s="42">
        <f>+$I$3*24</f>
        <v>8</v>
      </c>
      <c r="J28" s="42">
        <f>G28-I28-H28</f>
        <v>-8.5</v>
      </c>
      <c r="K28" s="39"/>
      <c r="L28" s="24"/>
      <c r="M28" s="2"/>
    </row>
    <row r="29" spans="1:16" x14ac:dyDescent="0.3">
      <c r="A29" s="4" t="s">
        <v>17</v>
      </c>
      <c r="B29" s="23">
        <v>46015</v>
      </c>
      <c r="C29" s="38">
        <v>0</v>
      </c>
      <c r="D29" s="38">
        <v>0</v>
      </c>
      <c r="E29" s="38">
        <v>0</v>
      </c>
      <c r="F29" s="38">
        <v>0</v>
      </c>
      <c r="G29" s="44">
        <f t="shared" si="6"/>
        <v>0</v>
      </c>
      <c r="H29" s="42">
        <f>+$H$3*24</f>
        <v>0.5</v>
      </c>
      <c r="I29" s="42">
        <f>+$I$3*24</f>
        <v>8</v>
      </c>
      <c r="J29" s="42">
        <f>G29-I29-H29</f>
        <v>-8.5</v>
      </c>
      <c r="K29" s="39"/>
      <c r="L29" s="24"/>
      <c r="M29" s="2"/>
    </row>
    <row r="30" spans="1:16" s="41" customFormat="1" x14ac:dyDescent="0.3">
      <c r="A30" s="5" t="s">
        <v>18</v>
      </c>
      <c r="B30" s="25">
        <v>46016</v>
      </c>
      <c r="C30" s="37">
        <v>0</v>
      </c>
      <c r="D30" s="37">
        <v>0</v>
      </c>
      <c r="E30" s="37">
        <v>0</v>
      </c>
      <c r="F30" s="37">
        <v>0</v>
      </c>
      <c r="G30" s="43">
        <f t="shared" si="6"/>
        <v>0</v>
      </c>
      <c r="H30" s="43">
        <v>0</v>
      </c>
      <c r="I30" s="43">
        <v>0</v>
      </c>
      <c r="J30" s="18"/>
      <c r="K30" s="18">
        <f t="shared" ref="K30:K33" si="7">G30-I30+H30</f>
        <v>0</v>
      </c>
      <c r="L30" s="22"/>
      <c r="M30" s="40"/>
      <c r="N30" s="58"/>
      <c r="O30" s="58"/>
      <c r="P30" s="58"/>
    </row>
    <row r="31" spans="1:16" s="41" customFormat="1" x14ac:dyDescent="0.3">
      <c r="A31" s="5" t="s">
        <v>12</v>
      </c>
      <c r="B31" s="25">
        <v>46017</v>
      </c>
      <c r="C31" s="37">
        <v>0</v>
      </c>
      <c r="D31" s="37">
        <v>0</v>
      </c>
      <c r="E31" s="37">
        <v>0</v>
      </c>
      <c r="F31" s="37">
        <v>0</v>
      </c>
      <c r="G31" s="43">
        <f t="shared" si="6"/>
        <v>0</v>
      </c>
      <c r="H31" s="43">
        <v>0</v>
      </c>
      <c r="I31" s="43">
        <v>0</v>
      </c>
      <c r="J31" s="18"/>
      <c r="K31" s="18">
        <f t="shared" si="7"/>
        <v>0</v>
      </c>
      <c r="L31" s="22"/>
      <c r="M31" s="40"/>
      <c r="N31" s="58"/>
      <c r="O31" s="58"/>
      <c r="P31" s="58"/>
    </row>
    <row r="32" spans="1:16" s="41" customFormat="1" x14ac:dyDescent="0.3">
      <c r="A32" s="5" t="s">
        <v>13</v>
      </c>
      <c r="B32" s="25">
        <v>46018</v>
      </c>
      <c r="C32" s="37">
        <v>0</v>
      </c>
      <c r="D32" s="37">
        <v>0</v>
      </c>
      <c r="E32" s="37">
        <v>0</v>
      </c>
      <c r="F32" s="37">
        <v>0</v>
      </c>
      <c r="G32" s="43">
        <f t="shared" si="6"/>
        <v>0</v>
      </c>
      <c r="H32" s="43">
        <v>0</v>
      </c>
      <c r="I32" s="43">
        <v>0</v>
      </c>
      <c r="J32" s="18"/>
      <c r="K32" s="18">
        <f t="shared" si="7"/>
        <v>0</v>
      </c>
      <c r="L32" s="22"/>
      <c r="M32" s="40"/>
      <c r="N32" s="58"/>
      <c r="O32" s="58"/>
      <c r="P32" s="58"/>
    </row>
    <row r="33" spans="1:16" s="41" customFormat="1" x14ac:dyDescent="0.3">
      <c r="A33" s="5" t="s">
        <v>14</v>
      </c>
      <c r="B33" s="25">
        <v>46019</v>
      </c>
      <c r="C33" s="37">
        <v>0</v>
      </c>
      <c r="D33" s="37">
        <v>0</v>
      </c>
      <c r="E33" s="37">
        <v>0</v>
      </c>
      <c r="F33" s="37">
        <v>0</v>
      </c>
      <c r="G33" s="43">
        <f t="shared" si="6"/>
        <v>0</v>
      </c>
      <c r="H33" s="43">
        <v>0</v>
      </c>
      <c r="I33" s="43">
        <v>0</v>
      </c>
      <c r="J33" s="18"/>
      <c r="K33" s="18">
        <f t="shared" si="7"/>
        <v>0</v>
      </c>
      <c r="L33" s="22"/>
      <c r="M33" s="40"/>
      <c r="N33" s="58"/>
      <c r="O33" s="58"/>
      <c r="P33" s="58"/>
    </row>
    <row r="34" spans="1:16" x14ac:dyDescent="0.3">
      <c r="A34" s="4" t="s">
        <v>15</v>
      </c>
      <c r="B34" s="23">
        <v>46020</v>
      </c>
      <c r="C34" s="38">
        <v>0</v>
      </c>
      <c r="D34" s="38">
        <v>0</v>
      </c>
      <c r="E34" s="38">
        <v>0</v>
      </c>
      <c r="F34" s="38">
        <v>0</v>
      </c>
      <c r="G34" s="44">
        <f t="shared" ref="G34:G36" si="8">(F34*24-E34*24)+(D34*24-C34*24)</f>
        <v>0</v>
      </c>
      <c r="H34" s="42">
        <f>+$H$3*24</f>
        <v>0.5</v>
      </c>
      <c r="I34" s="42">
        <f>+$I$3*24</f>
        <v>8</v>
      </c>
      <c r="J34" s="42">
        <f>G34-I34-H34</f>
        <v>-8.5</v>
      </c>
      <c r="K34" s="39"/>
      <c r="L34" s="24"/>
      <c r="M34" s="2"/>
    </row>
    <row r="35" spans="1:16" x14ac:dyDescent="0.3">
      <c r="A35" s="4" t="s">
        <v>16</v>
      </c>
      <c r="B35" s="23">
        <v>46021</v>
      </c>
      <c r="C35" s="38">
        <v>0</v>
      </c>
      <c r="D35" s="38">
        <v>0</v>
      </c>
      <c r="E35" s="38">
        <v>0</v>
      </c>
      <c r="F35" s="38">
        <v>0</v>
      </c>
      <c r="G35" s="44">
        <f t="shared" si="8"/>
        <v>0</v>
      </c>
      <c r="H35" s="42">
        <f>+$H$3*24</f>
        <v>0.5</v>
      </c>
      <c r="I35" s="42">
        <f>+$I$3*24</f>
        <v>8</v>
      </c>
      <c r="J35" s="42">
        <f>G35-I35-H35</f>
        <v>-8.5</v>
      </c>
      <c r="K35" s="39"/>
      <c r="L35" s="24"/>
      <c r="M35" s="2"/>
    </row>
    <row r="36" spans="1:16" ht="17.25" thickBot="1" x14ac:dyDescent="0.35">
      <c r="A36" s="4" t="s">
        <v>17</v>
      </c>
      <c r="B36" s="27">
        <v>46022</v>
      </c>
      <c r="C36" s="47">
        <v>0</v>
      </c>
      <c r="D36" s="47">
        <v>0</v>
      </c>
      <c r="E36" s="47">
        <v>0</v>
      </c>
      <c r="F36" s="47">
        <v>0</v>
      </c>
      <c r="G36" s="48">
        <f t="shared" si="8"/>
        <v>0</v>
      </c>
      <c r="H36" s="49">
        <f>+$H$3*24</f>
        <v>0.5</v>
      </c>
      <c r="I36" s="49">
        <f>+$I$3*24</f>
        <v>8</v>
      </c>
      <c r="J36" s="49">
        <f>G36-I36-H36</f>
        <v>-8.5</v>
      </c>
      <c r="K36" s="50"/>
      <c r="L36" s="28"/>
      <c r="M36" s="2"/>
    </row>
    <row r="37" spans="1:16" x14ac:dyDescent="0.3">
      <c r="A37" s="4" t="s">
        <v>18</v>
      </c>
      <c r="B37" s="12"/>
      <c r="C37" s="2"/>
      <c r="D37" s="2"/>
      <c r="E37" s="2"/>
      <c r="F37" s="8"/>
      <c r="G37" s="9">
        <f>SUM(G6:G36)</f>
        <v>0</v>
      </c>
      <c r="H37" s="10">
        <f>SUM(H6:H36)</f>
        <v>10</v>
      </c>
      <c r="I37" s="11">
        <f>SUM(I6:I36)</f>
        <v>160</v>
      </c>
      <c r="J37" s="9">
        <f>SUM(J6:J36)</f>
        <v>-170</v>
      </c>
      <c r="K37" s="9">
        <f>SUM(K6:K36)</f>
        <v>0</v>
      </c>
      <c r="L37" s="2"/>
      <c r="M37" s="2"/>
    </row>
    <row r="38" spans="1:16" x14ac:dyDescent="0.3">
      <c r="A38" s="4" t="s">
        <v>12</v>
      </c>
      <c r="B38" s="12"/>
      <c r="M38" s="2"/>
    </row>
    <row r="39" spans="1:16" x14ac:dyDescent="0.3">
      <c r="A39" s="6" t="s">
        <v>13</v>
      </c>
      <c r="B39" s="7"/>
      <c r="M39" s="2"/>
    </row>
    <row r="40" spans="1:16" x14ac:dyDescent="0.3">
      <c r="A40" s="5" t="s">
        <v>14</v>
      </c>
      <c r="M40" s="2"/>
    </row>
    <row r="41" spans="1:16" x14ac:dyDescent="0.3">
      <c r="A41" s="13"/>
      <c r="M41" s="2"/>
    </row>
    <row r="42" spans="1:16" x14ac:dyDescent="0.3">
      <c r="A42" s="14"/>
    </row>
  </sheetData>
  <mergeCells count="1">
    <mergeCell ref="C2:D2"/>
  </mergeCells>
  <pageMargins left="0.25" right="0.25" top="0.75" bottom="0.75" header="0.3" footer="0.3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DICIEMBRE 2024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2025-04-04T10:00:12Z</dcterms:modified>
</cp:coreProperties>
</file>